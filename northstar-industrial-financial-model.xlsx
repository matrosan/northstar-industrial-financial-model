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895c05faf23b9d9/Työpöytä/Data Analytics Project/Projects/Excel/"/>
    </mc:Choice>
  </mc:AlternateContent>
  <xr:revisionPtr revIDLastSave="0" documentId="8_{1BBC9BEF-56BB-42D5-B3B5-07EC7553E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agement Summary" sheetId="1" r:id="rId1"/>
    <sheet name="P&amp;L" sheetId="2" r:id="rId2"/>
    <sheet name="Dashboard" sheetId="7" r:id="rId3"/>
    <sheet name="Actuals" sheetId="3" r:id="rId4"/>
    <sheet name="Budget" sheetId="4" r:id="rId5"/>
    <sheet name="Forecast Assumptions" sheetId="5" r:id="rId6"/>
    <sheet name="Mapping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8" i="1"/>
  <c r="B7" i="1"/>
  <c r="B6" i="1"/>
  <c r="B5" i="1"/>
  <c r="B17" i="5"/>
  <c r="B16" i="5"/>
  <c r="B15" i="5"/>
  <c r="B14" i="5"/>
  <c r="C31" i="2"/>
  <c r="D31" i="2"/>
  <c r="E31" i="2"/>
  <c r="F31" i="2"/>
  <c r="G31" i="2"/>
  <c r="H31" i="2"/>
  <c r="I31" i="2"/>
  <c r="J31" i="2"/>
  <c r="K31" i="2"/>
  <c r="L31" i="2"/>
  <c r="M31" i="2"/>
  <c r="B31" i="2"/>
  <c r="C54" i="2"/>
  <c r="G22" i="7"/>
  <c r="G23" i="7"/>
  <c r="G24" i="7"/>
  <c r="D23" i="7"/>
  <c r="D24" i="7"/>
  <c r="C23" i="7"/>
  <c r="C24" i="7"/>
  <c r="B23" i="7"/>
  <c r="B24" i="7"/>
  <c r="D22" i="7"/>
  <c r="C22" i="7"/>
  <c r="B22" i="7"/>
  <c r="C15" i="7"/>
  <c r="C14" i="7"/>
  <c r="C13" i="7"/>
  <c r="C12" i="7"/>
  <c r="C11" i="7"/>
  <c r="C10" i="7"/>
  <c r="B15" i="7"/>
  <c r="B14" i="7"/>
  <c r="B13" i="7"/>
  <c r="B12" i="7"/>
  <c r="B11" i="7"/>
  <c r="B10" i="7"/>
  <c r="J5" i="7"/>
  <c r="G5" i="7"/>
  <c r="D5" i="7"/>
  <c r="A5" i="7"/>
  <c r="H54" i="2"/>
  <c r="D54" i="2"/>
  <c r="E54" i="2"/>
  <c r="F54" i="2"/>
  <c r="G54" i="2"/>
  <c r="B54" i="2"/>
  <c r="F53" i="2"/>
  <c r="E53" i="2"/>
  <c r="C53" i="2"/>
  <c r="B53" i="2"/>
  <c r="D53" i="2" s="1"/>
  <c r="G53" i="2" s="1"/>
  <c r="H53" i="2" s="1"/>
  <c r="F52" i="2"/>
  <c r="E52" i="2"/>
  <c r="C52" i="2"/>
  <c r="B52" i="2"/>
  <c r="D52" i="2" s="1"/>
  <c r="G52" i="2" s="1"/>
  <c r="H52" i="2" s="1"/>
  <c r="H51" i="2"/>
  <c r="G51" i="2"/>
  <c r="F51" i="2"/>
  <c r="E51" i="2"/>
  <c r="D51" i="2"/>
  <c r="C51" i="2"/>
  <c r="B51" i="2"/>
  <c r="Q47" i="2"/>
  <c r="Q46" i="2"/>
  <c r="N41" i="2"/>
  <c r="N42" i="2"/>
  <c r="N43" i="2"/>
  <c r="N44" i="2"/>
  <c r="N45" i="2"/>
  <c r="N40" i="2"/>
  <c r="C45" i="2"/>
  <c r="D45" i="2"/>
  <c r="E45" i="2"/>
  <c r="F45" i="2"/>
  <c r="G45" i="2"/>
  <c r="H45" i="2"/>
  <c r="I45" i="2"/>
  <c r="J45" i="2"/>
  <c r="K45" i="2"/>
  <c r="L45" i="2"/>
  <c r="M45" i="2"/>
  <c r="B45" i="2"/>
  <c r="C42" i="2"/>
  <c r="D42" i="2"/>
  <c r="E42" i="2"/>
  <c r="F42" i="2"/>
  <c r="G42" i="2"/>
  <c r="H42" i="2"/>
  <c r="I42" i="2"/>
  <c r="J42" i="2"/>
  <c r="K42" i="2"/>
  <c r="L42" i="2"/>
  <c r="M42" i="2"/>
  <c r="B42" i="2"/>
  <c r="I44" i="2"/>
  <c r="J44" i="2"/>
  <c r="K44" i="2"/>
  <c r="L44" i="2"/>
  <c r="M44" i="2"/>
  <c r="H44" i="2"/>
  <c r="I43" i="2"/>
  <c r="J43" i="2"/>
  <c r="K43" i="2"/>
  <c r="L43" i="2"/>
  <c r="M43" i="2"/>
  <c r="H43" i="2"/>
  <c r="I41" i="2"/>
  <c r="J41" i="2"/>
  <c r="K41" i="2"/>
  <c r="L41" i="2"/>
  <c r="M41" i="2"/>
  <c r="H41" i="2"/>
  <c r="I40" i="2"/>
  <c r="J40" i="2"/>
  <c r="K40" i="2"/>
  <c r="L40" i="2"/>
  <c r="M40" i="2"/>
  <c r="H40" i="2"/>
  <c r="G44" i="2"/>
  <c r="F44" i="2"/>
  <c r="E44" i="2"/>
  <c r="D44" i="2"/>
  <c r="C44" i="2"/>
  <c r="B44" i="2"/>
  <c r="G43" i="2"/>
  <c r="F43" i="2"/>
  <c r="E43" i="2"/>
  <c r="D43" i="2"/>
  <c r="C43" i="2"/>
  <c r="B43" i="2"/>
  <c r="G41" i="2"/>
  <c r="F41" i="2"/>
  <c r="E41" i="2"/>
  <c r="D41" i="2"/>
  <c r="C41" i="2"/>
  <c r="B41" i="2"/>
  <c r="C40" i="2"/>
  <c r="D40" i="2"/>
  <c r="E40" i="2"/>
  <c r="F40" i="2"/>
  <c r="G40" i="2"/>
  <c r="B40" i="2"/>
  <c r="C39" i="2"/>
  <c r="D39" i="2"/>
  <c r="E39" i="2"/>
  <c r="F39" i="2"/>
  <c r="G39" i="2"/>
  <c r="H39" i="2"/>
  <c r="I39" i="2"/>
  <c r="J39" i="2"/>
  <c r="K39" i="2"/>
  <c r="L39" i="2"/>
  <c r="M39" i="2"/>
  <c r="B39" i="2"/>
  <c r="N31" i="2"/>
  <c r="N30" i="2"/>
  <c r="B30" i="2"/>
  <c r="C30" i="2"/>
  <c r="D30" i="2"/>
  <c r="E30" i="2"/>
  <c r="F30" i="2"/>
  <c r="G30" i="2"/>
  <c r="H30" i="2"/>
  <c r="I30" i="2"/>
  <c r="J30" i="2"/>
  <c r="K30" i="2"/>
  <c r="L30" i="2"/>
  <c r="M30" i="2"/>
  <c r="N14" i="2"/>
  <c r="N15" i="2"/>
  <c r="N16" i="2"/>
  <c r="N17" i="2"/>
  <c r="N18" i="2"/>
  <c r="N13" i="2"/>
  <c r="N23" i="2"/>
  <c r="N24" i="2"/>
  <c r="N25" i="2"/>
  <c r="N26" i="2"/>
  <c r="N27" i="2"/>
  <c r="N22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C22" i="2"/>
  <c r="D22" i="2"/>
  <c r="E22" i="2"/>
  <c r="F22" i="2"/>
  <c r="G22" i="2"/>
  <c r="H22" i="2"/>
  <c r="I22" i="2"/>
  <c r="J22" i="2"/>
  <c r="K22" i="2"/>
  <c r="L22" i="2"/>
  <c r="M22" i="2"/>
  <c r="B22" i="2"/>
  <c r="C21" i="2"/>
  <c r="D21" i="2"/>
  <c r="E21" i="2"/>
  <c r="F21" i="2"/>
  <c r="G21" i="2"/>
  <c r="H21" i="2"/>
  <c r="I21" i="2"/>
  <c r="J21" i="2"/>
  <c r="K21" i="2"/>
  <c r="L21" i="2"/>
  <c r="M21" i="2"/>
  <c r="N21" i="2"/>
  <c r="B21" i="2"/>
  <c r="B4" i="2"/>
  <c r="M18" i="2"/>
  <c r="L18" i="2"/>
  <c r="K18" i="2"/>
  <c r="J18" i="2"/>
  <c r="I18" i="2"/>
  <c r="H18" i="2"/>
  <c r="G18" i="2"/>
  <c r="F18" i="2"/>
  <c r="E18" i="2"/>
  <c r="D18" i="2"/>
  <c r="C18" i="2"/>
  <c r="B18" i="2"/>
  <c r="M15" i="2"/>
  <c r="L15" i="2"/>
  <c r="K15" i="2"/>
  <c r="J15" i="2"/>
  <c r="I15" i="2"/>
  <c r="H15" i="2"/>
  <c r="G15" i="2"/>
  <c r="F15" i="2"/>
  <c r="E15" i="2"/>
  <c r="D15" i="2"/>
  <c r="C15" i="2"/>
  <c r="B15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4" i="2"/>
  <c r="L14" i="2"/>
  <c r="K14" i="2"/>
  <c r="J14" i="2"/>
  <c r="I14" i="2"/>
  <c r="H14" i="2"/>
  <c r="G14" i="2"/>
  <c r="F14" i="2"/>
  <c r="E14" i="2"/>
  <c r="D14" i="2"/>
  <c r="C14" i="2"/>
  <c r="B14" i="2"/>
  <c r="C13" i="2"/>
  <c r="D13" i="2"/>
  <c r="E13" i="2"/>
  <c r="F13" i="2"/>
  <c r="G13" i="2"/>
  <c r="H13" i="2"/>
  <c r="I13" i="2"/>
  <c r="J13" i="2"/>
  <c r="K13" i="2"/>
  <c r="L13" i="2"/>
  <c r="M13" i="2"/>
  <c r="B13" i="2"/>
  <c r="N12" i="2"/>
  <c r="C12" i="2"/>
  <c r="D12" i="2"/>
  <c r="E12" i="2"/>
  <c r="F12" i="2"/>
  <c r="G12" i="2"/>
  <c r="H12" i="2"/>
  <c r="I12" i="2"/>
  <c r="J12" i="2"/>
  <c r="K12" i="2"/>
  <c r="L12" i="2"/>
  <c r="M12" i="2"/>
  <c r="B12" i="2"/>
  <c r="D3" i="2"/>
  <c r="E3" i="2"/>
  <c r="F3" i="2" s="1"/>
  <c r="G3" i="2" s="1"/>
  <c r="H3" i="2" s="1"/>
  <c r="I3" i="2" s="1"/>
  <c r="J3" i="2" s="1"/>
  <c r="K3" i="2" s="1"/>
  <c r="L3" i="2" s="1"/>
  <c r="M3" i="2" s="1"/>
  <c r="C3" i="2"/>
  <c r="G2" i="4"/>
  <c r="I3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7" i="2" l="1"/>
  <c r="J8" i="2"/>
  <c r="K7" i="2"/>
  <c r="K4" i="2"/>
  <c r="L5" i="2"/>
  <c r="L7" i="2"/>
  <c r="M4" i="2"/>
  <c r="M5" i="2"/>
  <c r="M7" i="2"/>
  <c r="M8" i="2"/>
  <c r="K8" i="2"/>
  <c r="L8" i="2"/>
  <c r="B5" i="2"/>
  <c r="B7" i="2"/>
  <c r="B8" i="2"/>
  <c r="C4" i="2"/>
  <c r="C5" i="2"/>
  <c r="C7" i="2"/>
  <c r="C8" i="2"/>
  <c r="K5" i="2"/>
  <c r="D4" i="2"/>
  <c r="D5" i="2"/>
  <c r="D7" i="2"/>
  <c r="D8" i="2"/>
  <c r="L4" i="2"/>
  <c r="L6" i="2" s="1"/>
  <c r="E4" i="2"/>
  <c r="E5" i="2"/>
  <c r="E7" i="2"/>
  <c r="E8" i="2"/>
  <c r="F4" i="2"/>
  <c r="F5" i="2"/>
  <c r="F8" i="2"/>
  <c r="G4" i="2"/>
  <c r="G5" i="2"/>
  <c r="G7" i="2"/>
  <c r="G8" i="2"/>
  <c r="H4" i="2"/>
  <c r="H5" i="2"/>
  <c r="H7" i="2"/>
  <c r="H8" i="2"/>
  <c r="I4" i="2"/>
  <c r="I6" i="2" s="1"/>
  <c r="I5" i="2"/>
  <c r="I7" i="2"/>
  <c r="I8" i="2"/>
  <c r="J4" i="2"/>
  <c r="J5" i="2"/>
  <c r="J7" i="2"/>
  <c r="H6" i="2" l="1"/>
  <c r="J6" i="2"/>
  <c r="C6" i="2"/>
  <c r="H9" i="2"/>
  <c r="L9" i="2"/>
  <c r="N5" i="2"/>
  <c r="E6" i="2"/>
  <c r="E9" i="2" s="1"/>
  <c r="N7" i="2"/>
  <c r="G6" i="2"/>
  <c r="G9" i="2" s="1"/>
  <c r="D6" i="2"/>
  <c r="D9" i="2" s="1"/>
  <c r="J9" i="2"/>
  <c r="N4" i="2"/>
  <c r="B6" i="2"/>
  <c r="F6" i="2"/>
  <c r="F9" i="2" s="1"/>
  <c r="M6" i="2"/>
  <c r="M9" i="2" s="1"/>
  <c r="I9" i="2"/>
  <c r="C9" i="2"/>
  <c r="N8" i="2"/>
  <c r="K6" i="2"/>
  <c r="K9" i="2" s="1"/>
  <c r="N6" i="2" l="1"/>
  <c r="B9" i="2"/>
  <c r="N9" i="2" s="1"/>
</calcChain>
</file>

<file path=xl/sharedStrings.xml><?xml version="1.0" encoding="utf-8"?>
<sst xmlns="http://schemas.openxmlformats.org/spreadsheetml/2006/main" count="1357" uniqueCount="92">
  <si>
    <t>Account</t>
  </si>
  <si>
    <t>Account Name</t>
  </si>
  <si>
    <t>P&amp;L Category</t>
  </si>
  <si>
    <t>Product Sales</t>
  </si>
  <si>
    <t>Service Revenue</t>
  </si>
  <si>
    <t>Materials</t>
  </si>
  <si>
    <t>Freight &amp; Logistics</t>
  </si>
  <si>
    <t>Salaries</t>
  </si>
  <si>
    <t>Employee Benefits</t>
  </si>
  <si>
    <t xml:space="preserve">Rent </t>
  </si>
  <si>
    <t>IT &amp; Software</t>
  </si>
  <si>
    <t>Marketing</t>
  </si>
  <si>
    <t>Travel</t>
  </si>
  <si>
    <t>Professional Services</t>
  </si>
  <si>
    <t>COGS</t>
  </si>
  <si>
    <t>Personnel</t>
  </si>
  <si>
    <t>Other OPEX</t>
  </si>
  <si>
    <t>Sarake1</t>
  </si>
  <si>
    <t>Date</t>
  </si>
  <si>
    <t>Cost Center</t>
  </si>
  <si>
    <t>Business Unit</t>
  </si>
  <si>
    <t>Amount</t>
  </si>
  <si>
    <t>CC100</t>
  </si>
  <si>
    <t>Automation Solutions</t>
  </si>
  <si>
    <t>CC200</t>
  </si>
  <si>
    <t>Industrial Components</t>
  </si>
  <si>
    <t>CC300</t>
  </si>
  <si>
    <t>Service &amp; Aftermarket</t>
  </si>
  <si>
    <t>Budget Amount</t>
  </si>
  <si>
    <t>Northstar Industrial – Management P&amp;L 2026</t>
  </si>
  <si>
    <t>Gross Profit</t>
  </si>
  <si>
    <t>Operating Profit</t>
  </si>
  <si>
    <t>FY 2026</t>
  </si>
  <si>
    <t>Budget</t>
  </si>
  <si>
    <t>Revenue</t>
  </si>
  <si>
    <t>Variance (€)</t>
  </si>
  <si>
    <t>YTD Jun</t>
  </si>
  <si>
    <t>Variance (%)</t>
  </si>
  <si>
    <t>Forecast</t>
  </si>
  <si>
    <t>Forecast Assumptions</t>
  </si>
  <si>
    <t>Revenue vs Budget</t>
  </si>
  <si>
    <t>COGS vs Budget</t>
  </si>
  <si>
    <t>Personnel vs Budget</t>
  </si>
  <si>
    <t>Other OPEX vs Budget</t>
  </si>
  <si>
    <t>Value</t>
  </si>
  <si>
    <t>FY Forecast vs Budget</t>
  </si>
  <si>
    <t>Business Unit Analysis — YTD Jun</t>
  </si>
  <si>
    <t>OP Margin %</t>
  </si>
  <si>
    <t>Total</t>
  </si>
  <si>
    <t>YTD Operating Profit</t>
  </si>
  <si>
    <t>Monthly Performance</t>
  </si>
  <si>
    <t>YTD Revenue</t>
  </si>
  <si>
    <t>YTD June 2026</t>
  </si>
  <si>
    <t>Northstar Industrial — Management Dashboard</t>
  </si>
  <si>
    <t>Business Unit Performance</t>
  </si>
  <si>
    <t>Month</t>
  </si>
  <si>
    <t>Actual</t>
  </si>
  <si>
    <t>Jan</t>
  </si>
  <si>
    <t>Feb</t>
  </si>
  <si>
    <t>Mar</t>
  </si>
  <si>
    <t>Apr</t>
  </si>
  <si>
    <t>May</t>
  </si>
  <si>
    <t>Jun</t>
  </si>
  <si>
    <t>OP Margin</t>
  </si>
  <si>
    <t>Key Insights</t>
  </si>
  <si>
    <t>YTD revenue €5.92m, €290k above budget.</t>
  </si>
  <si>
    <t>YTD operating profit €1.54m with a 25.9% margin.</t>
  </si>
  <si>
    <t>Industrial Components has the highest OP margin at 26.8%.</t>
  </si>
  <si>
    <t>Automation Solutions generates the highest absolute operating profit at €625k.</t>
  </si>
  <si>
    <t>Forecast Assumptions — FY2026</t>
  </si>
  <si>
    <t>Assumption</t>
  </si>
  <si>
    <t>Forecast Methodology</t>
  </si>
  <si>
    <t>Jan–Jun forecast is based on actual results. Jul–Dec forecast is based on monthly budget adjusted by the assumptions above.</t>
  </si>
  <si>
    <t>Forecast Output</t>
  </si>
  <si>
    <t>FY2026 Revenue Forecast</t>
  </si>
  <si>
    <t>FY2026 Operating Profit Forecast</t>
  </si>
  <si>
    <t>Revenue vs FY Budget</t>
  </si>
  <si>
    <t>Operating Profit vs FY Budget</t>
  </si>
  <si>
    <t>Northstar Industrial — Management Summary</t>
  </si>
  <si>
    <t>YTD June 2026 | FY2026 Forecast</t>
  </si>
  <si>
    <t>YTD Performance</t>
  </si>
  <si>
    <t>Operating Margin</t>
  </si>
  <si>
    <t>FY2026 Outlook</t>
  </si>
  <si>
    <t>Revenue Forecast</t>
  </si>
  <si>
    <t>Operating Profit Forecast</t>
  </si>
  <si>
    <t>Operating Profit vs Budget</t>
  </si>
  <si>
    <t>Management Commentary</t>
  </si>
  <si>
    <t>YTD revenue is €5.92m, €290k above budget (+5.1%)</t>
  </si>
  <si>
    <t>YTD operating profit is €1.54m, €52k above budget, with a 25.9% operating margin.</t>
  </si>
  <si>
    <t>Industrial Components has the highest YTD operating margin at 26.8%, while Automation Solutions generates the highest absolute operating profit at €625k.</t>
  </si>
  <si>
    <t>FY2026 revenue is forecast at €12.26m and operating profit at €3.32m, exceeding full-year budget by €474k and €205k respectively.</t>
  </si>
  <si>
    <t>The outlook assumes revenue 3% above budget in Jul–Dec, while COGS is 2% above budget, personnel remains on budget and Other OPEX is 2% below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</si>
</sst>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0.0\ %"/>
  </numFmts>
  <fonts count="6">
    <font>
      <sz val="11"/>
      <color theme="1"/>
      <name val="Calibri"/>
      <family val="2"/>
      <scheme val="minor"/>
    </font>
    <font>
      <sz val="11"/>
      <color rgb="FF000000"/>
      <name val="Carlito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5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Revenue</a:t>
            </a:r>
            <a:r>
              <a:rPr lang="fi-FI" baseline="0"/>
              <a:t> Actual vs Budget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0.1151686021916238"/>
          <c:y val="0.20648568891102115"/>
          <c:w val="0.85710176175984931"/>
          <c:h val="0.53701674266341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Dashboard!$A$10:$A$15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Dashboard!$B$10:$B$15</c:f>
              <c:numCache>
                <c:formatCode>#,##0</c:formatCode>
                <c:ptCount val="6"/>
                <c:pt idx="0">
                  <c:v>932646</c:v>
                </c:pt>
                <c:pt idx="1">
                  <c:v>926168.61</c:v>
                </c:pt>
                <c:pt idx="2">
                  <c:v>994175.52</c:v>
                </c:pt>
                <c:pt idx="3">
                  <c:v>988604.76</c:v>
                </c:pt>
                <c:pt idx="4">
                  <c:v>1050294.3</c:v>
                </c:pt>
                <c:pt idx="5">
                  <c:v>1032413.04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E-41C0-9318-73A5BD383BE8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Dashboard!$A$10:$A$15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Dashboard!$C$10:$C$15</c:f>
              <c:numCache>
                <c:formatCode>#,##0</c:formatCode>
                <c:ptCount val="6"/>
                <c:pt idx="0">
                  <c:v>894144.61999999988</c:v>
                </c:pt>
                <c:pt idx="1">
                  <c:v>926290.92</c:v>
                </c:pt>
                <c:pt idx="2">
                  <c:v>932285.42999999982</c:v>
                </c:pt>
                <c:pt idx="3">
                  <c:v>952516.99999999988</c:v>
                </c:pt>
                <c:pt idx="4">
                  <c:v>958781.97</c:v>
                </c:pt>
                <c:pt idx="5">
                  <c:v>970304.16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E-41C0-9318-73A5BD383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547008"/>
        <c:axId val="694274319"/>
      </c:barChart>
      <c:catAx>
        <c:axId val="11355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694274319"/>
        <c:crosses val="autoZero"/>
        <c:auto val="1"/>
        <c:lblAlgn val="ctr"/>
        <c:lblOffset val="100"/>
        <c:noMultiLvlLbl val="0"/>
      </c:catAx>
      <c:valAx>
        <c:axId val="6942743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355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by Business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Dashboard!$F$22:$F$24</c:f>
              <c:strCache>
                <c:ptCount val="3"/>
                <c:pt idx="0">
                  <c:v>Automation Solutions</c:v>
                </c:pt>
                <c:pt idx="1">
                  <c:v>Industrial Components</c:v>
                </c:pt>
                <c:pt idx="2">
                  <c:v>Service &amp; Aftermarket</c:v>
                </c:pt>
              </c:strCache>
            </c:strRef>
          </c:cat>
          <c:val>
            <c:numRef>
              <c:f>Dashboard!$G$22:$G$24</c:f>
              <c:numCache>
                <c:formatCode>General</c:formatCode>
                <c:ptCount val="3"/>
                <c:pt idx="0">
                  <c:v>624704.05000000005</c:v>
                </c:pt>
                <c:pt idx="1">
                  <c:v>546074.18000000005</c:v>
                </c:pt>
                <c:pt idx="2">
                  <c:v>366561.76000000013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1-4BD1-AA3F-177EA128D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683727"/>
        <c:axId val="694214799"/>
      </c:barChart>
      <c:catAx>
        <c:axId val="7846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694214799"/>
        <c:crosses val="autoZero"/>
        <c:auto val="1"/>
        <c:lblAlgn val="ctr"/>
        <c:lblOffset val="100"/>
        <c:noMultiLvlLbl val="0"/>
      </c:catAx>
      <c:valAx>
        <c:axId val="69421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846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6</xdr:row>
      <xdr:rowOff>185737</xdr:rowOff>
    </xdr:from>
    <xdr:to>
      <xdr:col>13</xdr:col>
      <xdr:colOff>9524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3410F-7DE6-F8C0-D5EF-0DEC2EBBC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376237</xdr:colOff>
      <xdr:row>19</xdr:row>
      <xdr:rowOff>223837</xdr:rowOff>
    </xdr:from>
    <xdr:to>
      <xdr:col>10</xdr:col>
      <xdr:colOff>395287</xdr:colOff>
      <xdr:row>34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0BD8E5-DD1A-D932-D8EF-F576D2E75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42316-28EC-41A0-81FD-64713A0F755F}" name="tblActuals" displayName="tblActuals" ref="A1:G199" totalsRowShown="0" dataDxfId="15">
  <autoFilter ref="A1:G199" xr:uid="{11942316-28EC-41A0-81FD-64713A0F755F}"/>
  <tableColumns count="7">
    <tableColumn id="1" xr3:uid="{E379640B-7107-4DBF-B100-F4B80E01E6CF}" name="Date" dataDxfId="14"/>
    <tableColumn id="2" xr3:uid="{D53FAEAB-BADE-4B95-8C4D-D0E0E82AC4A0}" name="Account" dataDxfId="13"/>
    <tableColumn id="3" xr3:uid="{6E206105-78BE-4F47-9610-0F4DF2CD306E}" name="Cost Center" dataDxfId="12"/>
    <tableColumn id="4" xr3:uid="{5A4F0AC1-57E8-472B-B356-F4F019DF0D51}" name="Business Unit" dataDxfId="11"/>
    <tableColumn id="5" xr3:uid="{4444D8DC-D287-4688-B29B-96725613EF5F}" name="Amount" dataDxfId="10"/>
    <tableColumn id="6" xr3:uid="{F11A23C0-84BE-4D58-8110-7EBA8AFDDED6}" name="Account Name" dataDxfId="9">
      <calculatedColumnFormula>_xlfn.XLOOKUP(B2,Mapping!A:A,Mapping!B:B)</calculatedColumnFormula>
    </tableColumn>
    <tableColumn id="7" xr3:uid="{A814EE59-2C9F-4BDC-BEC8-7FE73557FB29}" name="P&amp;L Category" dataDxfId="8">
      <calculatedColumnFormula>_xlfn.XLOOKUP(B2,Mapping!A:A,Mapping!C:C)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95A117-3992-4094-AFEF-5053D28E34C4}" name="Table4" displayName="Table4" ref="A1:G397" totalsRowShown="0" dataDxfId="7">
  <autoFilter ref="A1:G397" xr:uid="{0195A117-3992-4094-AFEF-5053D28E34C4}"/>
  <tableColumns count="7">
    <tableColumn id="1" xr3:uid="{A6512A29-6AF8-46AC-BBD0-2421420C622A}" name="Date" dataDxfId="6"/>
    <tableColumn id="2" xr3:uid="{24BB77BF-4A17-49A8-A18E-641C52E005D9}" name="Account" dataDxfId="5"/>
    <tableColumn id="3" xr3:uid="{108F268C-06DE-49FC-986E-666179CF5540}" name="Cost Center" dataDxfId="4"/>
    <tableColumn id="4" xr3:uid="{1FEAFA00-88B1-407B-A495-6B0A7826ACE6}" name="Business Unit" dataDxfId="3"/>
    <tableColumn id="5" xr3:uid="{F3B1F169-7938-4593-8D5F-214D71F54D56}" name="Budget Amount" dataDxfId="2"/>
    <tableColumn id="6" xr3:uid="{46F5B19F-19CB-42DF-863A-B88DD012D46F}" name="Account Name" dataDxfId="1">
      <calculatedColumnFormula>_xlfn.XLOOKUP(B2,Mapping!A:A,Mapping!B:B)</calculatedColumnFormula>
    </tableColumn>
    <tableColumn id="7" xr3:uid="{1737562D-538F-46DC-95ED-31F7AD7BDF6F}" name="P&amp;L Category" dataDxfId="0">
      <calculatedColumnFormula>_xlfn.XLOOKUP(B2,Mapping!A:A,Mapping!C:C)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EB999-BE3C-4800-8AFE-291F71981067}" name="tblMapping" displayName="tblMapping" ref="A1:C12" totalsRowShown="0">
  <autoFilter ref="A1:C12" xr:uid="{2BDEB999-BE3C-4800-8AFE-291F71981067}"/>
  <tableColumns count="3">
    <tableColumn id="1" xr3:uid="{EEC4AC11-BDC9-4DE5-974D-3B189750CB43}" name="Sarake1"/>
    <tableColumn id="2" xr3:uid="{808BE022-3F96-4917-B25A-757BAC1F4357}" name="Account Name"/>
    <tableColumn id="3" xr3:uid="{7B89C30B-4002-45D6-B834-01B5C569BEE8}" name="P&amp;L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18" sqref="A18"/>
    </sheetView>
  </sheetViews>
  <sheetFormatPr defaultRowHeight="15"/>
  <cols>
    <col min="1" max="1" width="145.140625" bestFit="1" customWidth="1"/>
    <col min="2" max="2" width="11.28515625" bestFit="1" customWidth="1"/>
  </cols>
  <sheetData>
    <row r="1" spans="1:2">
      <c r="A1" t="s">
        <v>78</v>
      </c>
    </row>
    <row r="2" spans="1:2">
      <c r="A2" t="s">
        <v>79</v>
      </c>
    </row>
    <row r="4" spans="1:2">
      <c r="A4" s="15" t="s">
        <v>80</v>
      </c>
      <c r="B4" s="12"/>
    </row>
    <row r="5" spans="1:2">
      <c r="A5" s="14" t="s">
        <v>34</v>
      </c>
      <c r="B5" s="18">
        <f>'P&amp;L'!N4</f>
        <v>5924302.2299999995</v>
      </c>
    </row>
    <row r="6" spans="1:2">
      <c r="A6" s="14" t="s">
        <v>40</v>
      </c>
      <c r="B6" s="18">
        <f>'P&amp;L'!N22</f>
        <v>289978.12999999989</v>
      </c>
    </row>
    <row r="7" spans="1:2">
      <c r="A7" s="14" t="s">
        <v>31</v>
      </c>
      <c r="B7" s="18">
        <f>'P&amp;L'!N9</f>
        <v>1537339.99</v>
      </c>
    </row>
    <row r="8" spans="1:2">
      <c r="A8" s="14" t="s">
        <v>81</v>
      </c>
      <c r="B8" s="19">
        <f>IFERROR(B7/B5,0)</f>
        <v>0.25949722521161789</v>
      </c>
    </row>
    <row r="9" spans="1:2">
      <c r="A9" s="14"/>
      <c r="B9" s="16"/>
    </row>
    <row r="11" spans="1:2">
      <c r="A11" t="s">
        <v>82</v>
      </c>
    </row>
    <row r="12" spans="1:2">
      <c r="A12" t="s">
        <v>83</v>
      </c>
      <c r="B12" s="17">
        <f>'Forecast Assumptions'!B14</f>
        <v>12257891.030199999</v>
      </c>
    </row>
    <row r="13" spans="1:2">
      <c r="A13" t="s">
        <v>40</v>
      </c>
      <c r="B13" s="17">
        <f>'Forecast Assumptions'!B16</f>
        <v>474451.59019999765</v>
      </c>
    </row>
    <row r="14" spans="1:2">
      <c r="A14" t="s">
        <v>84</v>
      </c>
      <c r="B14" s="17">
        <f>'Forecast Assumptions'!B15</f>
        <v>3324153.0942000006</v>
      </c>
    </row>
    <row r="15" spans="1:2">
      <c r="A15" t="s">
        <v>85</v>
      </c>
      <c r="B15" s="17">
        <f>'Forecast Assumptions'!B17</f>
        <v>204574.9842000003</v>
      </c>
    </row>
    <row r="18" spans="1:1" ht="15.75">
      <c r="A18" s="20" t="s">
        <v>86</v>
      </c>
    </row>
    <row r="19" spans="1:1">
      <c r="A19" t="s">
        <v>87</v>
      </c>
    </row>
    <row r="20" spans="1:1">
      <c r="A20" t="s">
        <v>88</v>
      </c>
    </row>
    <row r="21" spans="1:1">
      <c r="A21" t="s">
        <v>89</v>
      </c>
    </row>
    <row r="22" spans="1:1">
      <c r="A22" t="s">
        <v>90</v>
      </c>
    </row>
    <row r="23" spans="1:1">
      <c r="A2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DCBA-49B5-49FC-90D7-C0C6FCF4AF2F}">
  <dimension ref="A1:Q54"/>
  <sheetViews>
    <sheetView topLeftCell="A19" workbookViewId="0">
      <selection activeCell="M34" sqref="M34"/>
    </sheetView>
  </sheetViews>
  <sheetFormatPr defaultRowHeight="15"/>
  <cols>
    <col min="1" max="1" width="40" customWidth="1"/>
    <col min="2" max="2" width="10.7109375" bestFit="1" customWidth="1"/>
    <col min="3" max="3" width="11.7109375" bestFit="1" customWidth="1"/>
    <col min="4" max="4" width="11.28515625" bestFit="1" customWidth="1"/>
    <col min="5" max="5" width="10.7109375" bestFit="1" customWidth="1"/>
    <col min="6" max="6" width="11.28515625" bestFit="1" customWidth="1"/>
    <col min="7" max="7" width="15.42578125" bestFit="1" customWidth="1"/>
    <col min="8" max="8" width="12.7109375" bestFit="1" customWidth="1"/>
    <col min="10" max="13" width="11" bestFit="1" customWidth="1"/>
    <col min="14" max="14" width="9.85546875" bestFit="1" customWidth="1"/>
    <col min="16" max="16" width="29.85546875" customWidth="1"/>
  </cols>
  <sheetData>
    <row r="1" spans="1:14">
      <c r="A1" t="s">
        <v>29</v>
      </c>
    </row>
    <row r="3" spans="1:14">
      <c r="A3" t="s">
        <v>2</v>
      </c>
      <c r="B3" s="2">
        <v>46023</v>
      </c>
      <c r="C3" s="2">
        <f>EDATE(B3,1)</f>
        <v>46054</v>
      </c>
      <c r="D3" s="2">
        <f t="shared" ref="D3:M3" si="0">EDATE(C3,1)</f>
        <v>46082</v>
      </c>
      <c r="E3" s="2">
        <f t="shared" si="0"/>
        <v>46113</v>
      </c>
      <c r="F3" s="2">
        <f t="shared" si="0"/>
        <v>46143</v>
      </c>
      <c r="G3" s="2">
        <f t="shared" si="0"/>
        <v>46174</v>
      </c>
      <c r="H3" s="2">
        <f t="shared" si="0"/>
        <v>46204</v>
      </c>
      <c r="I3" s="2">
        <f t="shared" si="0"/>
        <v>46235</v>
      </c>
      <c r="J3" s="2">
        <f t="shared" si="0"/>
        <v>46266</v>
      </c>
      <c r="K3" s="2">
        <f t="shared" si="0"/>
        <v>46296</v>
      </c>
      <c r="L3" s="2">
        <f t="shared" si="0"/>
        <v>46327</v>
      </c>
      <c r="M3" s="2">
        <f t="shared" si="0"/>
        <v>46357</v>
      </c>
      <c r="N3" s="2" t="s">
        <v>36</v>
      </c>
    </row>
    <row r="4" spans="1:14">
      <c r="A4" t="s">
        <v>34</v>
      </c>
      <c r="B4" s="4">
        <f>SUMIFS(Actuals!$E:$E,Actuals!$G:$G,$A4,Actuals!$A:$A,"&gt;="&amp;B$3,Actuals!$A:$A,"&lt;"&amp;EDATE(B$3,1))</f>
        <v>932646</v>
      </c>
      <c r="C4" s="4">
        <f>SUMIFS(tblActuals[Amount],tblActuals[P&amp;L Category],$A4,tblActuals[Date],"&gt;="&amp;C$3,tblActuals[Date],"&lt;"&amp;EDATE(C$3,1))</f>
        <v>926168.61</v>
      </c>
      <c r="D4" s="4">
        <f>SUMIFS(tblActuals[Amount],tblActuals[P&amp;L Category],$A4,tblActuals[Date],"&gt;="&amp;D$3,tblActuals[Date],"&lt;"&amp;EDATE(D$3,1))</f>
        <v>994175.52</v>
      </c>
      <c r="E4" s="4">
        <f>SUMIFS(tblActuals[Amount],tblActuals[P&amp;L Category],$A4,tblActuals[Date],"&gt;="&amp;E$3,tblActuals[Date],"&lt;"&amp;EDATE(E$3,1))</f>
        <v>988604.76</v>
      </c>
      <c r="F4" s="4">
        <f>SUMIFS(tblActuals[Amount],tblActuals[P&amp;L Category],$A4,tblActuals[Date],"&gt;="&amp;F$3,tblActuals[Date],"&lt;"&amp;EDATE(F$3,1))</f>
        <v>1050294.3</v>
      </c>
      <c r="G4" s="4">
        <f>SUMIFS(tblActuals[Amount],tblActuals[P&amp;L Category],$A4,tblActuals[Date],"&gt;="&amp;G$3,tblActuals[Date],"&lt;"&amp;EDATE(G$3,1))</f>
        <v>1032413.04</v>
      </c>
      <c r="H4" s="4">
        <f>SUMIFS(tblActuals[Amount],tblActuals[P&amp;L Category],$A4,tblActuals[Date],"&gt;="&amp;H$3,tblActuals[Date],"&lt;"&amp;EDATE(H$3,1))</f>
        <v>0</v>
      </c>
      <c r="I4" s="4">
        <f>SUMIFS(tblActuals[Amount],tblActuals[P&amp;L Category],$A4,tblActuals[Date],"&gt;="&amp;I$3,tblActuals[Date],"&lt;"&amp;EDATE(I$3,1))</f>
        <v>0</v>
      </c>
      <c r="J4" s="4">
        <f>SUMIFS(tblActuals[Amount],tblActuals[P&amp;L Category],$A4,tblActuals[Date],"&gt;="&amp;J$3,tblActuals[Date],"&lt;"&amp;EDATE(J$3,1))</f>
        <v>0</v>
      </c>
      <c r="K4" s="4">
        <f>SUMIFS(tblActuals[Amount],tblActuals[P&amp;L Category],$A4,tblActuals[Date],"&gt;="&amp;K$3,tblActuals[Date],"&lt;"&amp;EDATE(K$3,1))</f>
        <v>0</v>
      </c>
      <c r="L4" s="4">
        <f>SUMIFS(tblActuals[Amount],tblActuals[P&amp;L Category],$A4,tblActuals[Date],"&gt;="&amp;L$3,tblActuals[Date],"&lt;"&amp;EDATE(L$3,1))</f>
        <v>0</v>
      </c>
      <c r="M4" s="4">
        <f>SUMIFS(tblActuals[Amount],tblActuals[P&amp;L Category],$A4,tblActuals[Date],"&gt;="&amp;M$3,tblActuals[Date],"&lt;"&amp;EDATE(M$3,1))</f>
        <v>0</v>
      </c>
      <c r="N4" s="4">
        <f>SUM(B4:M4)</f>
        <v>5924302.2299999995</v>
      </c>
    </row>
    <row r="5" spans="1:14">
      <c r="A5" t="s">
        <v>14</v>
      </c>
      <c r="B5" s="4">
        <f>SUMIFS(tblActuals[Amount],tblActuals[P&amp;L Category],$A5,tblActuals[Date],"&gt;="&amp;B$3,tblActuals[Date],"&lt;"&amp;EDATE(B$3,1))</f>
        <v>-369110.99999999994</v>
      </c>
      <c r="C5" s="4">
        <f>SUMIFS(tblActuals[Amount],tblActuals[P&amp;L Category],$A5,tblActuals[Date],"&gt;="&amp;C$3,tblActuals[Date],"&lt;"&amp;EDATE(C$3,1))</f>
        <v>-365138.65</v>
      </c>
      <c r="D5" s="4">
        <f>SUMIFS(tblActuals[Amount],tblActuals[P&amp;L Category],$A5,tblActuals[Date],"&gt;="&amp;D$3,tblActuals[Date],"&lt;"&amp;EDATE(D$3,1))</f>
        <v>-384165.60000000009</v>
      </c>
      <c r="E5" s="4">
        <f>SUMIFS(tblActuals[Amount],tblActuals[P&amp;L Category],$A5,tblActuals[Date],"&gt;="&amp;E$3,tblActuals[Date],"&lt;"&amp;EDATE(E$3,1))</f>
        <v>-391257.66</v>
      </c>
      <c r="F5" s="4">
        <f>SUMIFS(tblActuals[Amount],tblActuals[P&amp;L Category],$A5,tblActuals[Date],"&gt;="&amp;F$3,tblActuals[Date],"&lt;"&amp;EDATE(F$3,1))</f>
        <v>-414074.76</v>
      </c>
      <c r="G5" s="4">
        <f>SUMIFS(tblActuals[Amount],tblActuals[P&amp;L Category],$A5,tblActuals[Date],"&gt;="&amp;G$3,tblActuals[Date],"&lt;"&amp;EDATE(G$3,1))</f>
        <v>-398941.21</v>
      </c>
      <c r="H5" s="4">
        <f>SUMIFS(tblActuals[Amount],tblActuals[P&amp;L Category],$A5,tblActuals[Date],"&gt;="&amp;H$3,tblActuals[Date],"&lt;"&amp;EDATE(H$3,1))</f>
        <v>0</v>
      </c>
      <c r="I5" s="4">
        <f>SUMIFS(tblActuals[Amount],tblActuals[P&amp;L Category],$A5,tblActuals[Date],"&gt;="&amp;I$3,tblActuals[Date],"&lt;"&amp;EDATE(I$3,1))</f>
        <v>0</v>
      </c>
      <c r="J5" s="4">
        <f>SUMIFS(tblActuals[Amount],tblActuals[P&amp;L Category],$A5,tblActuals[Date],"&gt;="&amp;J$3,tblActuals[Date],"&lt;"&amp;EDATE(J$3,1))</f>
        <v>0</v>
      </c>
      <c r="K5" s="4">
        <f>SUMIFS(tblActuals[Amount],tblActuals[P&amp;L Category],$A5,tblActuals[Date],"&gt;="&amp;K$3,tblActuals[Date],"&lt;"&amp;EDATE(K$3,1))</f>
        <v>0</v>
      </c>
      <c r="L5" s="4">
        <f>SUMIFS(tblActuals[Amount],tblActuals[P&amp;L Category],$A5,tblActuals[Date],"&gt;="&amp;L$3,tblActuals[Date],"&lt;"&amp;EDATE(L$3,1))</f>
        <v>0</v>
      </c>
      <c r="M5" s="4">
        <f>SUMIFS(tblActuals[Amount],tblActuals[P&amp;L Category],$A5,tblActuals[Date],"&gt;="&amp;M$3,tblActuals[Date],"&lt;"&amp;EDATE(M$3,1))</f>
        <v>0</v>
      </c>
      <c r="N5" s="4">
        <f t="shared" ref="N5:N9" si="1">SUM(B5:M5)</f>
        <v>-2322688.88</v>
      </c>
    </row>
    <row r="6" spans="1:14">
      <c r="A6" t="s">
        <v>30</v>
      </c>
      <c r="B6" s="4">
        <f>B4+B5</f>
        <v>563535</v>
      </c>
      <c r="C6" s="4">
        <f t="shared" ref="C6:M6" si="2">C4+C5</f>
        <v>561029.96</v>
      </c>
      <c r="D6" s="4">
        <f t="shared" si="2"/>
        <v>610009.91999999993</v>
      </c>
      <c r="E6" s="4">
        <f t="shared" si="2"/>
        <v>597347.10000000009</v>
      </c>
      <c r="F6" s="4">
        <f t="shared" si="2"/>
        <v>636219.54</v>
      </c>
      <c r="G6" s="4">
        <f t="shared" si="2"/>
        <v>633471.83000000007</v>
      </c>
      <c r="H6" s="4">
        <f t="shared" si="2"/>
        <v>0</v>
      </c>
      <c r="I6" s="4">
        <f t="shared" si="2"/>
        <v>0</v>
      </c>
      <c r="J6" s="4">
        <f t="shared" si="2"/>
        <v>0</v>
      </c>
      <c r="K6" s="4">
        <f t="shared" si="2"/>
        <v>0</v>
      </c>
      <c r="L6" s="4">
        <f t="shared" si="2"/>
        <v>0</v>
      </c>
      <c r="M6" s="4">
        <f t="shared" si="2"/>
        <v>0</v>
      </c>
      <c r="N6" s="4">
        <f t="shared" si="1"/>
        <v>3601613.35</v>
      </c>
    </row>
    <row r="7" spans="1:14">
      <c r="A7" t="s">
        <v>15</v>
      </c>
      <c r="B7" s="4">
        <f>SUMIFS(tblActuals[Amount],tblActuals[P&amp;L Category],$A7,tblActuals[Date],"&gt;="&amp;B$3,tblActuals[Date],"&lt;"&amp;EDATE(B$3,1))</f>
        <v>-212006.39999999999</v>
      </c>
      <c r="C7" s="4">
        <f>SUMIFS(tblActuals[Amount],tblActuals[P&amp;L Category],$A7,tblActuals[Date],"&gt;="&amp;C$3,tblActuals[Date],"&lt;"&amp;EDATE(C$3,1))</f>
        <v>-204361.15</v>
      </c>
      <c r="D7" s="4">
        <f>SUMIFS(tblActuals[Amount],tblActuals[P&amp;L Category],$A7,tblActuals[Date],"&gt;="&amp;D$3,tblActuals[Date],"&lt;"&amp;EDATE(D$3,1))</f>
        <v>-220172.16</v>
      </c>
      <c r="E7" s="4">
        <f>SUMIFS(tblActuals[Amount],tblActuals[P&amp;L Category],$A7,tblActuals[Date],"&gt;="&amp;E$3,tblActuals[Date],"&lt;"&amp;EDATE(E$3,1))</f>
        <v>-224726.78</v>
      </c>
      <c r="F7" s="4">
        <f>SUMIFS(tblActuals[Amount],tblActuals[P&amp;L Category],$A7,tblActuals[Date],"&gt;="&amp;F$3,tblActuals[Date],"&lt;"&amp;EDATE(F$3,1))</f>
        <v>-231749.75999999998</v>
      </c>
      <c r="G7" s="4">
        <f>SUMIFS(tblActuals[Amount],tblActuals[P&amp;L Category],$A7,tblActuals[Date],"&gt;="&amp;G$3,tblActuals[Date],"&lt;"&amp;EDATE(G$3,1))</f>
        <v>-228640.31999999998</v>
      </c>
      <c r="H7" s="4">
        <f>SUMIFS(tblActuals[Amount],tblActuals[P&amp;L Category],$A7,tblActuals[Date],"&gt;="&amp;H$3,tblActuals[Date],"&lt;"&amp;EDATE(H$3,1))</f>
        <v>0</v>
      </c>
      <c r="I7" s="4">
        <f>SUMIFS(tblActuals[Amount],tblActuals[P&amp;L Category],$A7,tblActuals[Date],"&gt;="&amp;I$3,tblActuals[Date],"&lt;"&amp;EDATE(I$3,1))</f>
        <v>0</v>
      </c>
      <c r="J7" s="4">
        <f>SUMIFS(tblActuals[Amount],tblActuals[P&amp;L Category],$A7,tblActuals[Date],"&gt;="&amp;J$3,tblActuals[Date],"&lt;"&amp;EDATE(J$3,1))</f>
        <v>0</v>
      </c>
      <c r="K7" s="4">
        <f>SUMIFS(tblActuals[Amount],tblActuals[P&amp;L Category],$A7,tblActuals[Date],"&gt;="&amp;K$3,tblActuals[Date],"&lt;"&amp;EDATE(K$3,1))</f>
        <v>0</v>
      </c>
      <c r="L7" s="4">
        <f>SUMIFS(tblActuals[Amount],tblActuals[P&amp;L Category],$A7,tblActuals[Date],"&gt;="&amp;L$3,tblActuals[Date],"&lt;"&amp;EDATE(L$3,1))</f>
        <v>0</v>
      </c>
      <c r="M7" s="4">
        <f>SUMIFS(tblActuals[Amount],tblActuals[P&amp;L Category],$A7,tblActuals[Date],"&gt;="&amp;M$3,tblActuals[Date],"&lt;"&amp;EDATE(M$3,1))</f>
        <v>0</v>
      </c>
      <c r="N7" s="4">
        <f t="shared" si="1"/>
        <v>-1321656.57</v>
      </c>
    </row>
    <row r="8" spans="1:14">
      <c r="A8" t="s">
        <v>16</v>
      </c>
      <c r="B8" s="4">
        <f>SUMIFS(tblActuals[Amount],tblActuals[P&amp;L Category],$A8,tblActuals[Date],"&gt;="&amp;B$3,tblActuals[Date],"&lt;"&amp;EDATE(B$3,1))</f>
        <v>-119230.80000000002</v>
      </c>
      <c r="C8" s="4">
        <f>SUMIFS(tblActuals[Amount],tblActuals[P&amp;L Category],$A8,tblActuals[Date],"&gt;="&amp;C$3,tblActuals[Date],"&lt;"&amp;EDATE(C$3,1))</f>
        <v>-115615.45999999999</v>
      </c>
      <c r="D8" s="4">
        <f>SUMIFS(tblActuals[Amount],tblActuals[P&amp;L Category],$A8,tblActuals[Date],"&gt;="&amp;D$3,tblActuals[Date],"&lt;"&amp;EDATE(D$3,1))</f>
        <v>-122776.69</v>
      </c>
      <c r="E8" s="4">
        <f>SUMIFS(tblActuals[Amount],tblActuals[P&amp;L Category],$A8,tblActuals[Date],"&gt;="&amp;E$3,tblActuals[Date],"&lt;"&amp;EDATE(E$3,1))</f>
        <v>-126384.66000000003</v>
      </c>
      <c r="F8" s="4">
        <f>SUMIFS(tblActuals[Amount],tblActuals[P&amp;L Category],$A8,tblActuals[Date],"&gt;="&amp;F$3,tblActuals[Date],"&lt;"&amp;EDATE(F$3,1))</f>
        <v>-131110.32</v>
      </c>
      <c r="G8" s="4">
        <f>SUMIFS(tblActuals[Amount],tblActuals[P&amp;L Category],$A8,tblActuals[Date],"&gt;="&amp;G$3,tblActuals[Date],"&lt;"&amp;EDATE(G$3,1))</f>
        <v>-127498.86000000002</v>
      </c>
      <c r="H8" s="4">
        <f>SUMIFS(tblActuals[Amount],tblActuals[P&amp;L Category],$A8,tblActuals[Date],"&gt;="&amp;H$3,tblActuals[Date],"&lt;"&amp;EDATE(H$3,1))</f>
        <v>0</v>
      </c>
      <c r="I8" s="4">
        <f>SUMIFS(tblActuals[Amount],tblActuals[P&amp;L Category],$A8,tblActuals[Date],"&gt;="&amp;I$3,tblActuals[Date],"&lt;"&amp;EDATE(I$3,1))</f>
        <v>0</v>
      </c>
      <c r="J8" s="4">
        <f>SUMIFS(tblActuals[Amount],tblActuals[P&amp;L Category],$A8,tblActuals[Date],"&gt;="&amp;J$3,tblActuals[Date],"&lt;"&amp;EDATE(J$3,1))</f>
        <v>0</v>
      </c>
      <c r="K8" s="4">
        <f>SUMIFS(tblActuals[Amount],tblActuals[P&amp;L Category],$A8,tblActuals[Date],"&gt;="&amp;K$3,tblActuals[Date],"&lt;"&amp;EDATE(K$3,1))</f>
        <v>0</v>
      </c>
      <c r="L8" s="4">
        <f>SUMIFS(tblActuals[Amount],tblActuals[P&amp;L Category],$A8,tblActuals[Date],"&gt;="&amp;L$3,tblActuals[Date],"&lt;"&amp;EDATE(L$3,1))</f>
        <v>0</v>
      </c>
      <c r="M8" s="4">
        <f>SUMIFS(tblActuals[Amount],tblActuals[P&amp;L Category],$A8,tblActuals[Date],"&gt;="&amp;M$3,tblActuals[Date],"&lt;"&amp;EDATE(M$3,1))</f>
        <v>0</v>
      </c>
      <c r="N8" s="4">
        <f t="shared" si="1"/>
        <v>-742616.79</v>
      </c>
    </row>
    <row r="9" spans="1:14">
      <c r="A9" t="s">
        <v>31</v>
      </c>
      <c r="B9" s="4">
        <f>B6+B7+B8</f>
        <v>232297.79999999996</v>
      </c>
      <c r="C9" s="4">
        <f t="shared" ref="C9:M9" si="3">C6+C7+C8</f>
        <v>241053.34999999995</v>
      </c>
      <c r="D9" s="4">
        <f t="shared" si="3"/>
        <v>267061.06999999989</v>
      </c>
      <c r="E9" s="4">
        <f t="shared" si="3"/>
        <v>246235.66000000003</v>
      </c>
      <c r="F9" s="4">
        <f t="shared" si="3"/>
        <v>273359.46000000002</v>
      </c>
      <c r="G9" s="4">
        <f t="shared" si="3"/>
        <v>277332.65000000014</v>
      </c>
      <c r="H9" s="4">
        <f t="shared" si="3"/>
        <v>0</v>
      </c>
      <c r="I9" s="4">
        <f t="shared" si="3"/>
        <v>0</v>
      </c>
      <c r="J9" s="4">
        <f t="shared" si="3"/>
        <v>0</v>
      </c>
      <c r="K9" s="4">
        <f t="shared" si="3"/>
        <v>0</v>
      </c>
      <c r="L9" s="4">
        <f t="shared" si="3"/>
        <v>0</v>
      </c>
      <c r="M9" s="4">
        <f t="shared" si="3"/>
        <v>0</v>
      </c>
      <c r="N9" s="4">
        <f t="shared" si="1"/>
        <v>1537339.99</v>
      </c>
    </row>
    <row r="11" spans="1:14">
      <c r="A11" t="s">
        <v>33</v>
      </c>
    </row>
    <row r="12" spans="1:14">
      <c r="A12" t="s">
        <v>2</v>
      </c>
      <c r="B12" s="2">
        <f>B3</f>
        <v>46023</v>
      </c>
      <c r="C12" s="2">
        <f t="shared" ref="C12:M12" si="4">C3</f>
        <v>46054</v>
      </c>
      <c r="D12" s="2">
        <f t="shared" si="4"/>
        <v>46082</v>
      </c>
      <c r="E12" s="2">
        <f t="shared" si="4"/>
        <v>46113</v>
      </c>
      <c r="F12" s="2">
        <f t="shared" si="4"/>
        <v>46143</v>
      </c>
      <c r="G12" s="2">
        <f t="shared" si="4"/>
        <v>46174</v>
      </c>
      <c r="H12" s="2">
        <f t="shared" si="4"/>
        <v>46204</v>
      </c>
      <c r="I12" s="2">
        <f t="shared" si="4"/>
        <v>46235</v>
      </c>
      <c r="J12" s="2">
        <f t="shared" si="4"/>
        <v>46266</v>
      </c>
      <c r="K12" s="2">
        <f t="shared" si="4"/>
        <v>46296</v>
      </c>
      <c r="L12" s="2">
        <f t="shared" si="4"/>
        <v>46327</v>
      </c>
      <c r="M12" s="2">
        <f t="shared" si="4"/>
        <v>46357</v>
      </c>
      <c r="N12" s="2" t="str">
        <f>N3</f>
        <v>YTD Jun</v>
      </c>
    </row>
    <row r="13" spans="1:14">
      <c r="A13" t="s">
        <v>34</v>
      </c>
      <c r="B13">
        <f>SUMIFS(Budget!$E:$E,Budget!$G:$G,$A13,Budget!$A:$A,"&gt;="&amp;B$12,Budget!$A:$A,"&lt;"&amp;EDATE(B$12,1))</f>
        <v>894144.61999999988</v>
      </c>
      <c r="C13">
        <f>SUMIFS(Budget!$E:$E,Budget!$G:$G,$A13,Budget!$A:$A,"&gt;="&amp;C$12,Budget!$A:$A,"&lt;"&amp;EDATE(C$12,1))</f>
        <v>926290.92</v>
      </c>
      <c r="D13">
        <f>SUMIFS(Budget!$E:$E,Budget!$G:$G,$A13,Budget!$A:$A,"&gt;="&amp;D$12,Budget!$A:$A,"&lt;"&amp;EDATE(D$12,1))</f>
        <v>932285.42999999982</v>
      </c>
      <c r="E13">
        <f>SUMIFS(Budget!$E:$E,Budget!$G:$G,$A13,Budget!$A:$A,"&gt;="&amp;E$12,Budget!$A:$A,"&lt;"&amp;EDATE(E$12,1))</f>
        <v>952516.99999999988</v>
      </c>
      <c r="F13">
        <f>SUMIFS(Budget!$E:$E,Budget!$G:$G,$A13,Budget!$A:$A,"&gt;="&amp;F$12,Budget!$A:$A,"&lt;"&amp;EDATE(F$12,1))</f>
        <v>958781.97</v>
      </c>
      <c r="G13">
        <f>SUMIFS(Budget!$E:$E,Budget!$G:$G,$A13,Budget!$A:$A,"&gt;="&amp;G$12,Budget!$A:$A,"&lt;"&amp;EDATE(G$12,1))</f>
        <v>970304.16</v>
      </c>
      <c r="H13">
        <f>SUMIFS(Budget!$E:$E,Budget!$G:$G,$A13,Budget!$A:$A,"&gt;="&amp;H$12,Budget!$A:$A,"&lt;"&amp;EDATE(H$12,1))</f>
        <v>997835.99000000011</v>
      </c>
      <c r="I13">
        <f>SUMIFS(Budget!$E:$E,Budget!$G:$G,$A13,Budget!$A:$A,"&gt;="&amp;I$12,Budget!$A:$A,"&lt;"&amp;EDATE(I$12,1))</f>
        <v>990437.11</v>
      </c>
      <c r="J13">
        <f>SUMIFS(Budget!$E:$E,Budget!$G:$G,$A13,Budget!$A:$A,"&gt;="&amp;J$12,Budget!$A:$A,"&lt;"&amp;EDATE(J$12,1))</f>
        <v>1024533.91</v>
      </c>
      <c r="K13">
        <f>SUMIFS(Budget!$E:$E,Budget!$G:$G,$A13,Budget!$A:$A,"&gt;="&amp;K$12,Budget!$A:$A,"&lt;"&amp;EDATE(K$12,1))</f>
        <v>1029688.3900000001</v>
      </c>
      <c r="L13">
        <f>SUMIFS(Budget!$E:$E,Budget!$G:$G,$A13,Budget!$A:$A,"&gt;="&amp;L$12,Budget!$A:$A,"&lt;"&amp;EDATE(L$12,1))</f>
        <v>1050570.22</v>
      </c>
      <c r="M13">
        <f>SUMIFS(Budget!$E:$E,Budget!$G:$G,$A13,Budget!$A:$A,"&gt;="&amp;M$12,Budget!$A:$A,"&lt;"&amp;EDATE(M$12,1))</f>
        <v>1056049.72</v>
      </c>
      <c r="N13">
        <f>SUM(B13:G13)</f>
        <v>5634324.0999999996</v>
      </c>
    </row>
    <row r="14" spans="1:14">
      <c r="A14" t="s">
        <v>14</v>
      </c>
      <c r="B14">
        <f>SUMIFS(Budget!$E:$E,Budget!$G:$G,$A14,Budget!$A:$A,"&gt;="&amp;B$12,Budget!$A:$A,"&lt;"&amp;EDATE(B$12,1))</f>
        <v>-352893.44999999995</v>
      </c>
      <c r="C14">
        <f>SUMIFS(Budget!$E:$E,Budget!$G:$G,$A14,Budget!$A:$A,"&gt;="&amp;C$12,Budget!$A:$A,"&lt;"&amp;EDATE(C$12,1))</f>
        <v>-355379.89</v>
      </c>
      <c r="D14">
        <f>SUMIFS(Budget!$E:$E,Budget!$G:$G,$A14,Budget!$A:$A,"&gt;="&amp;D$12,Budget!$A:$A,"&lt;"&amp;EDATE(D$12,1))</f>
        <v>-359786.39</v>
      </c>
      <c r="E14">
        <f>SUMIFS(Budget!$E:$E,Budget!$G:$G,$A14,Budget!$A:$A,"&gt;="&amp;E$12,Budget!$A:$A,"&lt;"&amp;EDATE(E$12,1))</f>
        <v>-370643.92000000004</v>
      </c>
      <c r="F14">
        <f>SUMIFS(Budget!$E:$E,Budget!$G:$G,$A14,Budget!$A:$A,"&gt;="&amp;F$12,Budget!$A:$A,"&lt;"&amp;EDATE(F$12,1))</f>
        <v>-367807.54000000004</v>
      </c>
      <c r="G14">
        <f>SUMIFS(Budget!$E:$E,Budget!$G:$G,$A14,Budget!$A:$A,"&gt;="&amp;G$12,Budget!$A:$A,"&lt;"&amp;EDATE(G$12,1))</f>
        <v>-380698.08</v>
      </c>
      <c r="H14">
        <f>SUMIFS(Budget!$E:$E,Budget!$G:$G,$A14,Budget!$A:$A,"&gt;="&amp;H$12,Budget!$A:$A,"&lt;"&amp;EDATE(H$12,1))</f>
        <v>-383161.88</v>
      </c>
      <c r="I14">
        <f>SUMIFS(Budget!$E:$E,Budget!$G:$G,$A14,Budget!$A:$A,"&gt;="&amp;I$12,Budget!$A:$A,"&lt;"&amp;EDATE(I$12,1))</f>
        <v>-390897.36000000004</v>
      </c>
      <c r="J14">
        <f>SUMIFS(Budget!$E:$E,Budget!$G:$G,$A14,Budget!$A:$A,"&gt;="&amp;J$12,Budget!$A:$A,"&lt;"&amp;EDATE(J$12,1))</f>
        <v>-393071.70999999996</v>
      </c>
      <c r="K14">
        <f>SUMIFS(Budget!$E:$E,Budget!$G:$G,$A14,Budget!$A:$A,"&gt;="&amp;K$12,Budget!$A:$A,"&lt;"&amp;EDATE(K$12,1))</f>
        <v>-397376.01</v>
      </c>
      <c r="L14">
        <f>SUMIFS(Budget!$E:$E,Budget!$G:$G,$A14,Budget!$A:$A,"&gt;="&amp;L$12,Budget!$A:$A,"&lt;"&amp;EDATE(L$12,1))</f>
        <v>-408798.44999999995</v>
      </c>
      <c r="M14">
        <f>SUMIFS(Budget!$E:$E,Budget!$G:$G,$A14,Budget!$A:$A,"&gt;="&amp;M$12,Budget!$A:$A,"&lt;"&amp;EDATE(M$12,1))</f>
        <v>-405121.34</v>
      </c>
      <c r="N14">
        <f t="shared" ref="N14:N18" si="5">SUM(B14:G14)</f>
        <v>-2187209.27</v>
      </c>
    </row>
    <row r="15" spans="1:14">
      <c r="A15" t="s">
        <v>30</v>
      </c>
      <c r="B15">
        <f>B13+B14</f>
        <v>541251.16999999993</v>
      </c>
      <c r="C15">
        <f t="shared" ref="C15:M15" si="6">C13+C14</f>
        <v>570911.03</v>
      </c>
      <c r="D15">
        <f t="shared" si="6"/>
        <v>572499.0399999998</v>
      </c>
      <c r="E15">
        <f t="shared" si="6"/>
        <v>581873.07999999984</v>
      </c>
      <c r="F15">
        <f t="shared" si="6"/>
        <v>590974.42999999993</v>
      </c>
      <c r="G15">
        <f t="shared" si="6"/>
        <v>589606.08000000007</v>
      </c>
      <c r="H15">
        <f t="shared" si="6"/>
        <v>614674.1100000001</v>
      </c>
      <c r="I15">
        <f t="shared" si="6"/>
        <v>599539.75</v>
      </c>
      <c r="J15">
        <f t="shared" si="6"/>
        <v>631462.20000000007</v>
      </c>
      <c r="K15">
        <f t="shared" si="6"/>
        <v>632312.38000000012</v>
      </c>
      <c r="L15">
        <f t="shared" si="6"/>
        <v>641771.77</v>
      </c>
      <c r="M15">
        <f t="shared" si="6"/>
        <v>650928.37999999989</v>
      </c>
      <c r="N15">
        <f t="shared" si="5"/>
        <v>3447114.8299999991</v>
      </c>
    </row>
    <row r="16" spans="1:14">
      <c r="A16" t="s">
        <v>15</v>
      </c>
      <c r="B16">
        <f>SUMIFS(Budget!$E:$E,Budget!$G:$G,$A16,Budget!$A:$A,"&gt;="&amp;B$12,Budget!$A:$A,"&lt;"&amp;EDATE(B$12,1))</f>
        <v>-201920.84</v>
      </c>
      <c r="C16">
        <f>SUMIFS(Budget!$E:$E,Budget!$G:$G,$A16,Budget!$A:$A,"&gt;="&amp;C$12,Budget!$A:$A,"&lt;"&amp;EDATE(C$12,1))</f>
        <v>-200544.89</v>
      </c>
      <c r="D16">
        <f>SUMIFS(Budget!$E:$E,Budget!$G:$G,$A16,Budget!$A:$A,"&gt;="&amp;D$12,Budget!$A:$A,"&lt;"&amp;EDATE(D$12,1))</f>
        <v>-207707.97</v>
      </c>
      <c r="E16">
        <f>SUMIFS(Budget!$E:$E,Budget!$G:$G,$A16,Budget!$A:$A,"&gt;="&amp;E$12,Budget!$A:$A,"&lt;"&amp;EDATE(E$12,1))</f>
        <v>-209147.21999999997</v>
      </c>
      <c r="F16">
        <f>SUMIFS(Budget!$E:$E,Budget!$G:$G,$A16,Budget!$A:$A,"&gt;="&amp;F$12,Budget!$A:$A,"&lt;"&amp;EDATE(F$12,1))</f>
        <v>-213529.09</v>
      </c>
      <c r="G16">
        <f>SUMIFS(Budget!$E:$E,Budget!$G:$G,$A16,Budget!$A:$A,"&gt;="&amp;G$12,Budget!$A:$A,"&lt;"&amp;EDATE(G$12,1))</f>
        <v>-214853.73</v>
      </c>
      <c r="H16">
        <f>SUMIFS(Budget!$E:$E,Budget!$G:$G,$A16,Budget!$A:$A,"&gt;="&amp;H$12,Budget!$A:$A,"&lt;"&amp;EDATE(H$12,1))</f>
        <v>-217344.45999999996</v>
      </c>
      <c r="I16">
        <f>SUMIFS(Budget!$E:$E,Budget!$G:$G,$A16,Budget!$A:$A,"&gt;="&amp;I$12,Budget!$A:$A,"&lt;"&amp;EDATE(I$12,1))</f>
        <v>-223666.16999999998</v>
      </c>
      <c r="J16">
        <f>SUMIFS(Budget!$E:$E,Budget!$G:$G,$A16,Budget!$A:$A,"&gt;="&amp;J$12,Budget!$A:$A,"&lt;"&amp;EDATE(J$12,1))</f>
        <v>-221814.81</v>
      </c>
      <c r="K16">
        <f>SUMIFS(Budget!$E:$E,Budget!$G:$G,$A16,Budget!$A:$A,"&gt;="&amp;K$12,Budget!$A:$A,"&lt;"&amp;EDATE(K$12,1))</f>
        <v>-229408.81</v>
      </c>
      <c r="L16">
        <f>SUMIFS(Budget!$E:$E,Budget!$G:$G,$A16,Budget!$A:$A,"&gt;="&amp;L$12,Budget!$A:$A,"&lt;"&amp;EDATE(L$12,1))</f>
        <v>-230677.1</v>
      </c>
      <c r="M16">
        <f>SUMIFS(Budget!$E:$E,Budget!$G:$G,$A16,Budget!$A:$A,"&gt;="&amp;M$12,Budget!$A:$A,"&lt;"&amp;EDATE(M$12,1))</f>
        <v>-235191.46</v>
      </c>
      <c r="N16">
        <f t="shared" si="5"/>
        <v>-1247703.74</v>
      </c>
    </row>
    <row r="17" spans="1:14">
      <c r="A17" t="s">
        <v>16</v>
      </c>
      <c r="B17">
        <f>SUMIFS(Budget!$E:$E,Budget!$G:$G,$A17,Budget!$A:$A,"&gt;="&amp;B$12,Budget!$A:$A,"&lt;"&amp;EDATE(B$12,1))</f>
        <v>-114362.30999999997</v>
      </c>
      <c r="C17">
        <f>SUMIFS(Budget!$E:$E,Budget!$G:$G,$A17,Budget!$A:$A,"&gt;="&amp;C$12,Budget!$A:$A,"&lt;"&amp;EDATE(C$12,1))</f>
        <v>-117043.72999999998</v>
      </c>
      <c r="D17">
        <f>SUMIFS(Budget!$E:$E,Budget!$G:$G,$A17,Budget!$A:$A,"&gt;="&amp;D$12,Budget!$A:$A,"&lt;"&amp;EDATE(D$12,1))</f>
        <v>-117788.01999999999</v>
      </c>
      <c r="E17">
        <f>SUMIFS(Budget!$E:$E,Budget!$G:$G,$A17,Budget!$A:$A,"&gt;="&amp;E$12,Budget!$A:$A,"&lt;"&amp;EDATE(E$12,1))</f>
        <v>-120033.73</v>
      </c>
      <c r="F17">
        <f>SUMIFS(Budget!$E:$E,Budget!$G:$G,$A17,Budget!$A:$A,"&gt;="&amp;F$12,Budget!$A:$A,"&lt;"&amp;EDATE(F$12,1))</f>
        <v>-121777.04000000001</v>
      </c>
      <c r="G17">
        <f>SUMIFS(Budget!$E:$E,Budget!$G:$G,$A17,Budget!$A:$A,"&gt;="&amp;G$12,Budget!$A:$A,"&lt;"&amp;EDATE(G$12,1))</f>
        <v>-123171.48000000001</v>
      </c>
      <c r="H17">
        <f>SUMIFS(Budget!$E:$E,Budget!$G:$G,$A17,Budget!$A:$A,"&gt;="&amp;H$12,Budget!$A:$A,"&lt;"&amp;EDATE(H$12,1))</f>
        <v>-125491.12</v>
      </c>
      <c r="I17">
        <f>SUMIFS(Budget!$E:$E,Budget!$G:$G,$A17,Budget!$A:$A,"&gt;="&amp;I$12,Budget!$A:$A,"&lt;"&amp;EDATE(I$12,1))</f>
        <v>-126678.27</v>
      </c>
      <c r="J17">
        <f>SUMIFS(Budget!$E:$E,Budget!$G:$G,$A17,Budget!$A:$A,"&gt;="&amp;J$12,Budget!$A:$A,"&lt;"&amp;EDATE(J$12,1))</f>
        <v>-129457.45000000001</v>
      </c>
      <c r="K17">
        <f>SUMIFS(Budget!$E:$E,Budget!$G:$G,$A17,Budget!$A:$A,"&gt;="&amp;K$12,Budget!$A:$A,"&lt;"&amp;EDATE(K$12,1))</f>
        <v>-130094.24</v>
      </c>
      <c r="L17">
        <f>SUMIFS(Budget!$E:$E,Budget!$G:$G,$A17,Budget!$A:$A,"&gt;="&amp;L$12,Budget!$A:$A,"&lt;"&amp;EDATE(L$12,1))</f>
        <v>-132390.13</v>
      </c>
      <c r="M17">
        <f>SUMIFS(Budget!$E:$E,Budget!$G:$G,$A17,Budget!$A:$A,"&gt;="&amp;M$12,Budget!$A:$A,"&lt;"&amp;EDATE(M$12,1))</f>
        <v>-134131.23999999996</v>
      </c>
      <c r="N17">
        <f t="shared" si="5"/>
        <v>-714176.30999999994</v>
      </c>
    </row>
    <row r="18" spans="1:14">
      <c r="A18" t="s">
        <v>31</v>
      </c>
      <c r="B18">
        <f>B15+B16+B17</f>
        <v>224968.02</v>
      </c>
      <c r="C18">
        <f t="shared" ref="C18:M18" si="7">C15+C16+C17</f>
        <v>253322.41000000003</v>
      </c>
      <c r="D18">
        <f t="shared" si="7"/>
        <v>247003.04999999984</v>
      </c>
      <c r="E18">
        <f t="shared" si="7"/>
        <v>252692.12999999989</v>
      </c>
      <c r="F18">
        <f t="shared" si="7"/>
        <v>255668.29999999996</v>
      </c>
      <c r="G18">
        <f t="shared" si="7"/>
        <v>251580.87000000008</v>
      </c>
      <c r="H18">
        <f t="shared" si="7"/>
        <v>271838.53000000014</v>
      </c>
      <c r="I18">
        <f t="shared" si="7"/>
        <v>249195.31</v>
      </c>
      <c r="J18">
        <f t="shared" si="7"/>
        <v>280189.94000000006</v>
      </c>
      <c r="K18">
        <f t="shared" si="7"/>
        <v>272809.33000000013</v>
      </c>
      <c r="L18">
        <f t="shared" si="7"/>
        <v>278704.54000000004</v>
      </c>
      <c r="M18">
        <f t="shared" si="7"/>
        <v>281605.67999999993</v>
      </c>
      <c r="N18">
        <f t="shared" si="5"/>
        <v>1485234.7799999998</v>
      </c>
    </row>
    <row r="20" spans="1:14">
      <c r="A20" t="s">
        <v>35</v>
      </c>
    </row>
    <row r="21" spans="1:14">
      <c r="A21" t="s">
        <v>2</v>
      </c>
      <c r="B21" s="2">
        <f>B3</f>
        <v>46023</v>
      </c>
      <c r="C21" s="2">
        <f t="shared" ref="C21:N21" si="8">C3</f>
        <v>46054</v>
      </c>
      <c r="D21" s="2">
        <f t="shared" si="8"/>
        <v>46082</v>
      </c>
      <c r="E21" s="2">
        <f t="shared" si="8"/>
        <v>46113</v>
      </c>
      <c r="F21" s="2">
        <f t="shared" si="8"/>
        <v>46143</v>
      </c>
      <c r="G21" s="2">
        <f t="shared" si="8"/>
        <v>46174</v>
      </c>
      <c r="H21" s="2">
        <f t="shared" si="8"/>
        <v>46204</v>
      </c>
      <c r="I21" s="2">
        <f t="shared" si="8"/>
        <v>46235</v>
      </c>
      <c r="J21" s="2">
        <f t="shared" si="8"/>
        <v>46266</v>
      </c>
      <c r="K21" s="2">
        <f t="shared" si="8"/>
        <v>46296</v>
      </c>
      <c r="L21" s="2">
        <f t="shared" si="8"/>
        <v>46327</v>
      </c>
      <c r="M21" s="2">
        <f t="shared" si="8"/>
        <v>46357</v>
      </c>
      <c r="N21" s="2" t="str">
        <f t="shared" si="8"/>
        <v>YTD Jun</v>
      </c>
    </row>
    <row r="22" spans="1:14">
      <c r="A22" t="s">
        <v>34</v>
      </c>
      <c r="B22" s="4">
        <f t="shared" ref="B22:B27" si="9">B4-B13</f>
        <v>38501.380000000121</v>
      </c>
      <c r="C22" s="4">
        <f t="shared" ref="C22:N27" si="10">C4-C13</f>
        <v>-122.31000000005588</v>
      </c>
      <c r="D22" s="4">
        <f t="shared" si="10"/>
        <v>61890.0900000002</v>
      </c>
      <c r="E22" s="4">
        <f t="shared" si="10"/>
        <v>36087.760000000126</v>
      </c>
      <c r="F22" s="4">
        <f t="shared" si="10"/>
        <v>91512.330000000075</v>
      </c>
      <c r="G22" s="4">
        <f t="shared" si="10"/>
        <v>62108.880000000005</v>
      </c>
      <c r="H22" s="4">
        <f t="shared" si="10"/>
        <v>-997835.99000000011</v>
      </c>
      <c r="I22" s="4">
        <f t="shared" si="10"/>
        <v>-990437.11</v>
      </c>
      <c r="J22" s="4">
        <f t="shared" si="10"/>
        <v>-1024533.91</v>
      </c>
      <c r="K22" s="4">
        <f t="shared" si="10"/>
        <v>-1029688.3900000001</v>
      </c>
      <c r="L22" s="4">
        <f t="shared" si="10"/>
        <v>-1050570.22</v>
      </c>
      <c r="M22" s="4">
        <f t="shared" si="10"/>
        <v>-1056049.72</v>
      </c>
      <c r="N22" s="4">
        <f>N4-N13</f>
        <v>289978.12999999989</v>
      </c>
    </row>
    <row r="23" spans="1:14">
      <c r="A23" t="s">
        <v>14</v>
      </c>
      <c r="B23" s="4">
        <f t="shared" si="9"/>
        <v>-16217.549999999988</v>
      </c>
      <c r="C23" s="4">
        <f t="shared" si="10"/>
        <v>-9758.7600000000093</v>
      </c>
      <c r="D23" s="4">
        <f t="shared" si="10"/>
        <v>-24379.210000000079</v>
      </c>
      <c r="E23" s="4">
        <f t="shared" si="10"/>
        <v>-20613.739999999932</v>
      </c>
      <c r="F23" s="4">
        <f t="shared" si="10"/>
        <v>-46267.219999999972</v>
      </c>
      <c r="G23" s="4">
        <f t="shared" si="10"/>
        <v>-18243.130000000005</v>
      </c>
      <c r="H23" s="4">
        <f t="shared" si="10"/>
        <v>383161.88</v>
      </c>
      <c r="I23" s="4">
        <f t="shared" si="10"/>
        <v>390897.36000000004</v>
      </c>
      <c r="J23" s="4">
        <f t="shared" si="10"/>
        <v>393071.70999999996</v>
      </c>
      <c r="K23" s="4">
        <f t="shared" si="10"/>
        <v>397376.01</v>
      </c>
      <c r="L23" s="4">
        <f t="shared" si="10"/>
        <v>408798.44999999995</v>
      </c>
      <c r="M23" s="4">
        <f t="shared" si="10"/>
        <v>405121.34</v>
      </c>
      <c r="N23" s="4">
        <f t="shared" si="10"/>
        <v>-135479.60999999987</v>
      </c>
    </row>
    <row r="24" spans="1:14">
      <c r="A24" t="s">
        <v>30</v>
      </c>
      <c r="B24" s="4">
        <f t="shared" si="9"/>
        <v>22283.830000000075</v>
      </c>
      <c r="C24" s="4">
        <f t="shared" si="10"/>
        <v>-9881.0700000000652</v>
      </c>
      <c r="D24" s="4">
        <f t="shared" si="10"/>
        <v>37510.880000000121</v>
      </c>
      <c r="E24" s="4">
        <f t="shared" si="10"/>
        <v>15474.020000000251</v>
      </c>
      <c r="F24" s="4">
        <f t="shared" si="10"/>
        <v>45245.110000000102</v>
      </c>
      <c r="G24" s="4">
        <f t="shared" si="10"/>
        <v>43865.75</v>
      </c>
      <c r="H24" s="4">
        <f t="shared" si="10"/>
        <v>-614674.1100000001</v>
      </c>
      <c r="I24" s="4">
        <f t="shared" si="10"/>
        <v>-599539.75</v>
      </c>
      <c r="J24" s="4">
        <f t="shared" si="10"/>
        <v>-631462.20000000007</v>
      </c>
      <c r="K24" s="4">
        <f t="shared" si="10"/>
        <v>-632312.38000000012</v>
      </c>
      <c r="L24" s="4">
        <f t="shared" si="10"/>
        <v>-641771.77</v>
      </c>
      <c r="M24" s="4">
        <f t="shared" si="10"/>
        <v>-650928.37999999989</v>
      </c>
      <c r="N24" s="4">
        <f t="shared" si="10"/>
        <v>154498.52000000095</v>
      </c>
    </row>
    <row r="25" spans="1:14">
      <c r="A25" t="s">
        <v>15</v>
      </c>
      <c r="B25" s="4">
        <f t="shared" si="9"/>
        <v>-10085.559999999998</v>
      </c>
      <c r="C25" s="4">
        <f t="shared" si="10"/>
        <v>-3816.2599999999802</v>
      </c>
      <c r="D25" s="4">
        <f t="shared" si="10"/>
        <v>-12464.190000000002</v>
      </c>
      <c r="E25" s="4">
        <f t="shared" si="10"/>
        <v>-15579.560000000027</v>
      </c>
      <c r="F25" s="4">
        <f t="shared" si="10"/>
        <v>-18220.669999999984</v>
      </c>
      <c r="G25" s="4">
        <f t="shared" si="10"/>
        <v>-13786.589999999967</v>
      </c>
      <c r="H25" s="4">
        <f t="shared" si="10"/>
        <v>217344.45999999996</v>
      </c>
      <c r="I25" s="4">
        <f t="shared" si="10"/>
        <v>223666.16999999998</v>
      </c>
      <c r="J25" s="4">
        <f t="shared" si="10"/>
        <v>221814.81</v>
      </c>
      <c r="K25" s="4">
        <f t="shared" si="10"/>
        <v>229408.81</v>
      </c>
      <c r="L25" s="4">
        <f t="shared" si="10"/>
        <v>230677.1</v>
      </c>
      <c r="M25" s="4">
        <f t="shared" si="10"/>
        <v>235191.46</v>
      </c>
      <c r="N25" s="4">
        <f t="shared" si="10"/>
        <v>-73952.830000000075</v>
      </c>
    </row>
    <row r="26" spans="1:14">
      <c r="A26" t="s">
        <v>16</v>
      </c>
      <c r="B26" s="4">
        <f t="shared" si="9"/>
        <v>-4868.4900000000489</v>
      </c>
      <c r="C26" s="4">
        <f t="shared" si="10"/>
        <v>1428.2699999999895</v>
      </c>
      <c r="D26" s="4">
        <f t="shared" si="10"/>
        <v>-4988.6700000000128</v>
      </c>
      <c r="E26" s="4">
        <f t="shared" si="10"/>
        <v>-6350.9300000000367</v>
      </c>
      <c r="F26" s="4">
        <f t="shared" si="10"/>
        <v>-9333.2799999999988</v>
      </c>
      <c r="G26" s="4">
        <f t="shared" si="10"/>
        <v>-4327.3800000000047</v>
      </c>
      <c r="H26" s="4">
        <f t="shared" si="10"/>
        <v>125491.12</v>
      </c>
      <c r="I26" s="4">
        <f t="shared" si="10"/>
        <v>126678.27</v>
      </c>
      <c r="J26" s="4">
        <f t="shared" si="10"/>
        <v>129457.45000000001</v>
      </c>
      <c r="K26" s="4">
        <f t="shared" si="10"/>
        <v>130094.24</v>
      </c>
      <c r="L26" s="4">
        <f t="shared" si="10"/>
        <v>132390.13</v>
      </c>
      <c r="M26" s="4">
        <f t="shared" si="10"/>
        <v>134131.23999999996</v>
      </c>
      <c r="N26" s="4">
        <f t="shared" si="10"/>
        <v>-28440.480000000098</v>
      </c>
    </row>
    <row r="27" spans="1:14">
      <c r="A27" t="s">
        <v>31</v>
      </c>
      <c r="B27" s="4">
        <f t="shared" si="9"/>
        <v>7329.7799999999697</v>
      </c>
      <c r="C27" s="4">
        <f t="shared" si="10"/>
        <v>-12269.060000000085</v>
      </c>
      <c r="D27" s="4">
        <f t="shared" si="10"/>
        <v>20058.020000000048</v>
      </c>
      <c r="E27" s="4">
        <f t="shared" si="10"/>
        <v>-6456.4699999998556</v>
      </c>
      <c r="F27" s="4">
        <f t="shared" si="10"/>
        <v>17691.160000000062</v>
      </c>
      <c r="G27" s="4">
        <f t="shared" si="10"/>
        <v>25751.780000000057</v>
      </c>
      <c r="H27" s="4">
        <f t="shared" si="10"/>
        <v>-271838.53000000014</v>
      </c>
      <c r="I27" s="4">
        <f t="shared" si="10"/>
        <v>-249195.31</v>
      </c>
      <c r="J27" s="4">
        <f t="shared" si="10"/>
        <v>-280189.94000000006</v>
      </c>
      <c r="K27" s="4">
        <f t="shared" si="10"/>
        <v>-272809.33000000013</v>
      </c>
      <c r="L27" s="4">
        <f t="shared" si="10"/>
        <v>-278704.54000000004</v>
      </c>
      <c r="M27" s="4">
        <f t="shared" si="10"/>
        <v>-281605.67999999993</v>
      </c>
      <c r="N27" s="4">
        <f t="shared" si="10"/>
        <v>52105.210000000196</v>
      </c>
    </row>
    <row r="29" spans="1:14">
      <c r="A29" t="s">
        <v>37</v>
      </c>
    </row>
    <row r="30" spans="1:14">
      <c r="A30" t="s">
        <v>2</v>
      </c>
      <c r="B30" s="2">
        <f>B3</f>
        <v>46023</v>
      </c>
      <c r="C30" s="2">
        <f t="shared" ref="C30:M30" si="11">C3</f>
        <v>46054</v>
      </c>
      <c r="D30" s="2">
        <f t="shared" si="11"/>
        <v>46082</v>
      </c>
      <c r="E30" s="2">
        <f t="shared" si="11"/>
        <v>46113</v>
      </c>
      <c r="F30" s="2">
        <f t="shared" si="11"/>
        <v>46143</v>
      </c>
      <c r="G30" s="2">
        <f t="shared" si="11"/>
        <v>46174</v>
      </c>
      <c r="H30" s="2">
        <f t="shared" si="11"/>
        <v>46204</v>
      </c>
      <c r="I30" s="2">
        <f t="shared" si="11"/>
        <v>46235</v>
      </c>
      <c r="J30" s="2">
        <f t="shared" si="11"/>
        <v>46266</v>
      </c>
      <c r="K30" s="2">
        <f t="shared" si="11"/>
        <v>46296</v>
      </c>
      <c r="L30" s="2">
        <f t="shared" si="11"/>
        <v>46327</v>
      </c>
      <c r="M30" s="2">
        <f t="shared" si="11"/>
        <v>46357</v>
      </c>
      <c r="N30" s="2" t="str">
        <f>N3</f>
        <v>YTD Jun</v>
      </c>
    </row>
    <row r="31" spans="1:14">
      <c r="A31" t="s">
        <v>34</v>
      </c>
      <c r="B31" s="5">
        <f>IF(B4=0,"",IFERROR((B4-B13)/ABS(B13),0))</f>
        <v>4.3059454968257964E-2</v>
      </c>
      <c r="C31" s="5">
        <f t="shared" ref="C31:M31" si="12">IF(C4=0,"",IFERROR((C4-C13)/ABS(C13),0))</f>
        <v>-1.3204274959324429E-4</v>
      </c>
      <c r="D31" s="5">
        <f t="shared" si="12"/>
        <v>6.6385345097584772E-2</v>
      </c>
      <c r="E31" s="5">
        <f t="shared" si="12"/>
        <v>3.7886735879779712E-2</v>
      </c>
      <c r="F31" s="5">
        <f t="shared" si="12"/>
        <v>9.5446444409045442E-2</v>
      </c>
      <c r="G31" s="5">
        <f t="shared" si="12"/>
        <v>6.4009701865031687E-2</v>
      </c>
      <c r="H31" s="5" t="str">
        <f t="shared" si="12"/>
        <v/>
      </c>
      <c r="I31" s="5" t="str">
        <f t="shared" si="12"/>
        <v/>
      </c>
      <c r="J31" s="5" t="str">
        <f t="shared" si="12"/>
        <v/>
      </c>
      <c r="K31" s="5" t="str">
        <f t="shared" si="12"/>
        <v/>
      </c>
      <c r="L31" s="5" t="str">
        <f t="shared" si="12"/>
        <v/>
      </c>
      <c r="M31" s="5" t="str">
        <f t="shared" si="12"/>
        <v/>
      </c>
      <c r="N31" s="5">
        <f>IFERROR((N4-N13)/ABS(N13),0)</f>
        <v>5.1466356008877785E-2</v>
      </c>
    </row>
    <row r="32" spans="1:14">
      <c r="A32" t="s">
        <v>14</v>
      </c>
    </row>
    <row r="33" spans="1:17">
      <c r="A33" t="s">
        <v>30</v>
      </c>
    </row>
    <row r="34" spans="1:17">
      <c r="A34" t="s">
        <v>15</v>
      </c>
    </row>
    <row r="35" spans="1:17">
      <c r="A35" t="s">
        <v>16</v>
      </c>
    </row>
    <row r="36" spans="1:17">
      <c r="A36" t="s">
        <v>31</v>
      </c>
    </row>
    <row r="38" spans="1:17">
      <c r="A38" t="s">
        <v>38</v>
      </c>
      <c r="P38" t="s">
        <v>39</v>
      </c>
      <c r="Q38" t="s">
        <v>44</v>
      </c>
    </row>
    <row r="39" spans="1:17">
      <c r="A39" t="s">
        <v>2</v>
      </c>
      <c r="B39" s="2">
        <f>B3</f>
        <v>46023</v>
      </c>
      <c r="C39" s="2">
        <f t="shared" ref="C39:M39" si="13">C3</f>
        <v>46054</v>
      </c>
      <c r="D39" s="2">
        <f t="shared" si="13"/>
        <v>46082</v>
      </c>
      <c r="E39" s="2">
        <f t="shared" si="13"/>
        <v>46113</v>
      </c>
      <c r="F39" s="2">
        <f t="shared" si="13"/>
        <v>46143</v>
      </c>
      <c r="G39" s="2">
        <f t="shared" si="13"/>
        <v>46174</v>
      </c>
      <c r="H39" s="2">
        <f t="shared" si="13"/>
        <v>46204</v>
      </c>
      <c r="I39" s="2">
        <f t="shared" si="13"/>
        <v>46235</v>
      </c>
      <c r="J39" s="2">
        <f t="shared" si="13"/>
        <v>46266</v>
      </c>
      <c r="K39" s="2">
        <f t="shared" si="13"/>
        <v>46296</v>
      </c>
      <c r="L39" s="2">
        <f t="shared" si="13"/>
        <v>46327</v>
      </c>
      <c r="M39" s="2">
        <f t="shared" si="13"/>
        <v>46357</v>
      </c>
      <c r="N39" t="s">
        <v>32</v>
      </c>
      <c r="P39" t="s">
        <v>40</v>
      </c>
      <c r="Q39" s="6">
        <v>0.03</v>
      </c>
    </row>
    <row r="40" spans="1:17">
      <c r="A40" t="s">
        <v>34</v>
      </c>
      <c r="B40" s="4">
        <f>B4</f>
        <v>932646</v>
      </c>
      <c r="C40" s="4">
        <f t="shared" ref="C40:G44" si="14">C4</f>
        <v>926168.61</v>
      </c>
      <c r="D40" s="4">
        <f t="shared" si="14"/>
        <v>994175.52</v>
      </c>
      <c r="E40" s="4">
        <f t="shared" si="14"/>
        <v>988604.76</v>
      </c>
      <c r="F40" s="4">
        <f t="shared" si="14"/>
        <v>1050294.3</v>
      </c>
      <c r="G40" s="4">
        <f t="shared" si="14"/>
        <v>1032413.04</v>
      </c>
      <c r="H40" s="4">
        <f>H13*(1+$Q$39)</f>
        <v>1027771.0697000001</v>
      </c>
      <c r="I40" s="4">
        <f t="shared" ref="I40:M40" si="15">I13*(1+$Q$39)</f>
        <v>1020150.2233</v>
      </c>
      <c r="J40" s="4">
        <f t="shared" si="15"/>
        <v>1055269.9273000001</v>
      </c>
      <c r="K40" s="4">
        <f t="shared" si="15"/>
        <v>1060579.0417000002</v>
      </c>
      <c r="L40" s="4">
        <f t="shared" si="15"/>
        <v>1082087.3266</v>
      </c>
      <c r="M40" s="4">
        <f t="shared" si="15"/>
        <v>1087731.2116</v>
      </c>
      <c r="N40" s="4">
        <f>SUM(B40:M40)</f>
        <v>12257891.030199999</v>
      </c>
      <c r="P40" t="s">
        <v>41</v>
      </c>
      <c r="Q40" s="6">
        <v>0.02</v>
      </c>
    </row>
    <row r="41" spans="1:17">
      <c r="A41" t="s">
        <v>14</v>
      </c>
      <c r="B41" s="4">
        <f>B5</f>
        <v>-369110.99999999994</v>
      </c>
      <c r="C41" s="4">
        <f t="shared" si="14"/>
        <v>-365138.65</v>
      </c>
      <c r="D41" s="4">
        <f t="shared" si="14"/>
        <v>-384165.60000000009</v>
      </c>
      <c r="E41" s="4">
        <f t="shared" si="14"/>
        <v>-391257.66</v>
      </c>
      <c r="F41" s="4">
        <f t="shared" si="14"/>
        <v>-414074.76</v>
      </c>
      <c r="G41" s="4">
        <f t="shared" si="14"/>
        <v>-398941.21</v>
      </c>
      <c r="H41">
        <f>H14*(1+$Q$40)</f>
        <v>-390825.1176</v>
      </c>
      <c r="I41">
        <f t="shared" ref="I41:M41" si="16">I14*(1+$Q$40)</f>
        <v>-398715.30720000004</v>
      </c>
      <c r="J41">
        <f t="shared" si="16"/>
        <v>-400933.14419999998</v>
      </c>
      <c r="K41">
        <f t="shared" si="16"/>
        <v>-405323.53020000004</v>
      </c>
      <c r="L41">
        <f t="shared" si="16"/>
        <v>-416974.41899999994</v>
      </c>
      <c r="M41">
        <f t="shared" si="16"/>
        <v>-413223.76680000004</v>
      </c>
      <c r="N41" s="4">
        <f t="shared" ref="N41:N45" si="17">SUM(B41:M41)</f>
        <v>-4748684.165</v>
      </c>
      <c r="P41" t="s">
        <v>42</v>
      </c>
      <c r="Q41" s="6">
        <v>0</v>
      </c>
    </row>
    <row r="42" spans="1:17">
      <c r="A42" t="s">
        <v>30</v>
      </c>
      <c r="B42" s="4">
        <f>B40+B41</f>
        <v>563535</v>
      </c>
      <c r="C42" s="4">
        <f t="shared" ref="C42:M42" si="18">C40+C41</f>
        <v>561029.96</v>
      </c>
      <c r="D42" s="4">
        <f t="shared" si="18"/>
        <v>610009.91999999993</v>
      </c>
      <c r="E42" s="4">
        <f t="shared" si="18"/>
        <v>597347.10000000009</v>
      </c>
      <c r="F42" s="4">
        <f t="shared" si="18"/>
        <v>636219.54</v>
      </c>
      <c r="G42" s="4">
        <f t="shared" si="18"/>
        <v>633471.83000000007</v>
      </c>
      <c r="H42" s="4">
        <f t="shared" si="18"/>
        <v>636945.95210000011</v>
      </c>
      <c r="I42" s="4">
        <f t="shared" si="18"/>
        <v>621434.91609999991</v>
      </c>
      <c r="J42" s="4">
        <f t="shared" si="18"/>
        <v>654336.78310000012</v>
      </c>
      <c r="K42" s="4">
        <f t="shared" si="18"/>
        <v>655255.51150000014</v>
      </c>
      <c r="L42" s="4">
        <f t="shared" si="18"/>
        <v>665112.90760000004</v>
      </c>
      <c r="M42" s="4">
        <f t="shared" si="18"/>
        <v>674507.44479999994</v>
      </c>
      <c r="N42" s="4">
        <f t="shared" si="17"/>
        <v>7509206.865199999</v>
      </c>
      <c r="P42" t="s">
        <v>43</v>
      </c>
      <c r="Q42" s="6">
        <v>-0.02</v>
      </c>
    </row>
    <row r="43" spans="1:17">
      <c r="A43" t="s">
        <v>15</v>
      </c>
      <c r="B43" s="4">
        <f>B7</f>
        <v>-212006.39999999999</v>
      </c>
      <c r="C43" s="4">
        <f t="shared" si="14"/>
        <v>-204361.15</v>
      </c>
      <c r="D43" s="4">
        <f t="shared" si="14"/>
        <v>-220172.16</v>
      </c>
      <c r="E43" s="4">
        <f t="shared" si="14"/>
        <v>-224726.78</v>
      </c>
      <c r="F43" s="4">
        <f t="shared" si="14"/>
        <v>-231749.75999999998</v>
      </c>
      <c r="G43" s="4">
        <f t="shared" si="14"/>
        <v>-228640.31999999998</v>
      </c>
      <c r="H43" s="4">
        <f>H16*(1+$Q$41)</f>
        <v>-217344.45999999996</v>
      </c>
      <c r="I43" s="4">
        <f t="shared" ref="I43:M43" si="19">I16*(1+$Q$41)</f>
        <v>-223666.16999999998</v>
      </c>
      <c r="J43" s="4">
        <f t="shared" si="19"/>
        <v>-221814.81</v>
      </c>
      <c r="K43" s="4">
        <f t="shared" si="19"/>
        <v>-229408.81</v>
      </c>
      <c r="L43" s="4">
        <f t="shared" si="19"/>
        <v>-230677.1</v>
      </c>
      <c r="M43" s="4">
        <f t="shared" si="19"/>
        <v>-235191.46</v>
      </c>
      <c r="N43" s="4">
        <f t="shared" si="17"/>
        <v>-2679759.38</v>
      </c>
    </row>
    <row r="44" spans="1:17">
      <c r="A44" t="s">
        <v>16</v>
      </c>
      <c r="B44" s="4">
        <f>B8</f>
        <v>-119230.80000000002</v>
      </c>
      <c r="C44" s="4">
        <f t="shared" si="14"/>
        <v>-115615.45999999999</v>
      </c>
      <c r="D44" s="4">
        <f t="shared" si="14"/>
        <v>-122776.69</v>
      </c>
      <c r="E44" s="4">
        <f t="shared" si="14"/>
        <v>-126384.66000000003</v>
      </c>
      <c r="F44" s="4">
        <f t="shared" si="14"/>
        <v>-131110.32</v>
      </c>
      <c r="G44" s="4">
        <f t="shared" si="14"/>
        <v>-127498.86000000002</v>
      </c>
      <c r="H44" s="4">
        <f>H17*(1+$Q$42)</f>
        <v>-122981.29759999999</v>
      </c>
      <c r="I44" s="4">
        <f t="shared" ref="I44:M44" si="20">I17*(1+$Q$42)</f>
        <v>-124144.7046</v>
      </c>
      <c r="J44" s="4">
        <f t="shared" si="20"/>
        <v>-126868.30100000001</v>
      </c>
      <c r="K44" s="4">
        <f t="shared" si="20"/>
        <v>-127492.35520000001</v>
      </c>
      <c r="L44" s="4">
        <f t="shared" si="20"/>
        <v>-129742.32740000001</v>
      </c>
      <c r="M44" s="4">
        <f t="shared" si="20"/>
        <v>-131448.61519999997</v>
      </c>
      <c r="N44" s="4">
        <f t="shared" si="17"/>
        <v>-1505294.3910000001</v>
      </c>
    </row>
    <row r="45" spans="1:17">
      <c r="A45" t="s">
        <v>31</v>
      </c>
      <c r="B45" s="4">
        <f>B42+B43+B44</f>
        <v>232297.79999999996</v>
      </c>
      <c r="C45" s="4">
        <f t="shared" ref="C45:M45" si="21">C42+C43+C44</f>
        <v>241053.34999999995</v>
      </c>
      <c r="D45" s="4">
        <f t="shared" si="21"/>
        <v>267061.06999999989</v>
      </c>
      <c r="E45" s="4">
        <f t="shared" si="21"/>
        <v>246235.66000000003</v>
      </c>
      <c r="F45" s="4">
        <f t="shared" si="21"/>
        <v>273359.46000000002</v>
      </c>
      <c r="G45" s="4">
        <f t="shared" si="21"/>
        <v>277332.65000000014</v>
      </c>
      <c r="H45" s="4">
        <f t="shared" si="21"/>
        <v>296620.19450000016</v>
      </c>
      <c r="I45" s="4">
        <f t="shared" si="21"/>
        <v>273624.04149999993</v>
      </c>
      <c r="J45" s="4">
        <f t="shared" si="21"/>
        <v>305653.67210000008</v>
      </c>
      <c r="K45" s="4">
        <f t="shared" si="21"/>
        <v>298354.34630000015</v>
      </c>
      <c r="L45" s="4">
        <f t="shared" si="21"/>
        <v>304693.48020000005</v>
      </c>
      <c r="M45" s="4">
        <f t="shared" si="21"/>
        <v>307867.36959999998</v>
      </c>
      <c r="N45" s="4">
        <f t="shared" si="17"/>
        <v>3324153.0942000006</v>
      </c>
      <c r="P45" t="s">
        <v>45</v>
      </c>
    </row>
    <row r="46" spans="1:17">
      <c r="P46" t="s">
        <v>34</v>
      </c>
      <c r="Q46" s="4">
        <f>N40-SUM(B13:M13)</f>
        <v>474451.59019999765</v>
      </c>
    </row>
    <row r="47" spans="1:17">
      <c r="P47" t="s">
        <v>31</v>
      </c>
      <c r="Q47" s="4">
        <f>N45-SUM(B18:M18)</f>
        <v>204574.9842000003</v>
      </c>
    </row>
    <row r="49" spans="1:8">
      <c r="A49" t="s">
        <v>46</v>
      </c>
    </row>
    <row r="50" spans="1:8">
      <c r="A50" t="s">
        <v>20</v>
      </c>
      <c r="B50" t="s">
        <v>34</v>
      </c>
      <c r="C50" t="s">
        <v>14</v>
      </c>
      <c r="D50" t="s">
        <v>30</v>
      </c>
      <c r="E50" t="s">
        <v>15</v>
      </c>
      <c r="F50" t="s">
        <v>16</v>
      </c>
      <c r="G50" t="s">
        <v>31</v>
      </c>
      <c r="H50" t="s">
        <v>47</v>
      </c>
    </row>
    <row r="51" spans="1:8">
      <c r="A51" t="s">
        <v>23</v>
      </c>
      <c r="B51">
        <f>SUMIFS(Actuals!$E:$E,Actuals!$D:$D,$A51,Actuals!$G:$G,B$50)</f>
        <v>2455398.5</v>
      </c>
      <c r="C51">
        <f>SUMIFS(Actuals!$E:$E,Actuals!$D:$D,$A51,Actuals!$G:$G,C$50)</f>
        <v>-966862.4</v>
      </c>
      <c r="D51">
        <f>B51+C51</f>
        <v>1488536.1</v>
      </c>
      <c r="E51">
        <f>SUMIFS(Actuals!$E:$E,Actuals!$D:$D,$A51,Actuals!$G:$G,E$50)</f>
        <v>-554507.20000000007</v>
      </c>
      <c r="F51">
        <f>SUMIFS(Actuals!$E:$E,Actuals!$D:$D,$A51,Actuals!$G:$G,F$50)</f>
        <v>-309324.84999999998</v>
      </c>
      <c r="G51">
        <f>D51+E51+F51</f>
        <v>624704.05000000005</v>
      </c>
      <c r="H51" s="5">
        <f>IFERROR(G51/B51,0)</f>
        <v>0.25442063681312832</v>
      </c>
    </row>
    <row r="52" spans="1:8">
      <c r="A52" t="s">
        <v>25</v>
      </c>
      <c r="B52">
        <f>SUMIFS(Actuals!$E:$E,Actuals!$D:$D,$A52,Actuals!$G:$G,B$50)</f>
        <v>2039860.29</v>
      </c>
      <c r="C52">
        <f>SUMIFS(Actuals!$E:$E,Actuals!$D:$D,$A52,Actuals!$G:$G,C$50)</f>
        <v>-789427.53999999992</v>
      </c>
      <c r="D52">
        <f>B52+C52</f>
        <v>1250432.75</v>
      </c>
      <c r="E52">
        <f>SUMIFS(Actuals!$E:$E,Actuals!$D:$D,$A52,Actuals!$G:$G,E$50)</f>
        <v>-450087.48000000004</v>
      </c>
      <c r="F52">
        <f>SUMIFS(Actuals!$E:$E,Actuals!$D:$D,$A52,Actuals!$G:$G,F$50)</f>
        <v>-254271.08999999997</v>
      </c>
      <c r="G52">
        <f>D52+E52+F52</f>
        <v>546074.18000000005</v>
      </c>
      <c r="H52" s="5">
        <f>IFERROR(G52/B52,0)</f>
        <v>0.26770175520206829</v>
      </c>
    </row>
    <row r="53" spans="1:8">
      <c r="A53" t="s">
        <v>27</v>
      </c>
      <c r="B53">
        <f>SUMIFS(Actuals!$E:$E,Actuals!$D:$D,$A53,Actuals!$G:$G,B$50)</f>
        <v>1429043.4400000002</v>
      </c>
      <c r="C53">
        <f>SUMIFS(Actuals!$E:$E,Actuals!$D:$D,$A53,Actuals!$G:$G,C$50)</f>
        <v>-566398.94000000006</v>
      </c>
      <c r="D53">
        <f>B53+C53</f>
        <v>862644.50000000012</v>
      </c>
      <c r="E53">
        <f>SUMIFS(Actuals!$E:$E,Actuals!$D:$D,$A53,Actuals!$G:$G,E$50)</f>
        <v>-317061.88999999996</v>
      </c>
      <c r="F53">
        <f>SUMIFS(Actuals!$E:$E,Actuals!$D:$D,$A53,Actuals!$G:$G,F$50)</f>
        <v>-179020.85</v>
      </c>
      <c r="G53">
        <f>D53+E53+F53</f>
        <v>366561.76000000013</v>
      </c>
      <c r="H53" s="5">
        <f>IFERROR(G53/B53,0)</f>
        <v>0.25650847954629014</v>
      </c>
    </row>
    <row r="54" spans="1:8">
      <c r="A54" t="s">
        <v>48</v>
      </c>
      <c r="B54">
        <f>SUM(B51:B53)</f>
        <v>5924302.2300000004</v>
      </c>
      <c r="C54">
        <f t="shared" ref="C54:G54" si="22">SUM(C51:C53)</f>
        <v>-2322688.88</v>
      </c>
      <c r="D54">
        <f t="shared" si="22"/>
        <v>3601613.35</v>
      </c>
      <c r="E54">
        <f t="shared" si="22"/>
        <v>-1321656.57</v>
      </c>
      <c r="F54">
        <f t="shared" si="22"/>
        <v>-742616.78999999992</v>
      </c>
      <c r="G54">
        <f t="shared" si="22"/>
        <v>1537339.9900000002</v>
      </c>
      <c r="H54" s="5">
        <f>IFERROR(G54/B54,0)</f>
        <v>0.25949722521161789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A9F5-91C9-4E1F-856B-EAB977A18F3B}">
  <dimension ref="A1:J34"/>
  <sheetViews>
    <sheetView showGridLines="0" workbookViewId="0">
      <selection activeCell="F30" sqref="F30:H35"/>
    </sheetView>
  </sheetViews>
  <sheetFormatPr defaultRowHeight="15"/>
  <cols>
    <col min="1" max="1" width="72.85546875" bestFit="1" customWidth="1"/>
    <col min="2" max="2" width="10.42578125" bestFit="1" customWidth="1"/>
    <col min="3" max="3" width="9.28515625" bestFit="1" customWidth="1"/>
    <col min="6" max="6" width="21.5703125" bestFit="1" customWidth="1"/>
    <col min="7" max="7" width="10.140625" bestFit="1" customWidth="1"/>
  </cols>
  <sheetData>
    <row r="1" spans="1:10" ht="15.75">
      <c r="A1" s="8" t="s">
        <v>53</v>
      </c>
    </row>
    <row r="2" spans="1:10">
      <c r="A2" t="s">
        <v>52</v>
      </c>
    </row>
    <row r="4" spans="1:10">
      <c r="A4" s="7" t="s">
        <v>51</v>
      </c>
      <c r="D4" s="7" t="s">
        <v>49</v>
      </c>
      <c r="G4" s="7" t="s">
        <v>63</v>
      </c>
      <c r="J4" s="7" t="s">
        <v>40</v>
      </c>
    </row>
    <row r="5" spans="1:10">
      <c r="A5" s="4">
        <f>'P&amp;L'!N4</f>
        <v>5924302.2299999995</v>
      </c>
      <c r="D5" s="4">
        <f>'P&amp;L'!N9</f>
        <v>1537339.99</v>
      </c>
      <c r="G5" s="5">
        <f>IFERROR(D5/A5,0)</f>
        <v>0.25949722521161789</v>
      </c>
      <c r="J5" s="4">
        <f>'P&amp;L'!N22</f>
        <v>289978.12999999989</v>
      </c>
    </row>
    <row r="8" spans="1:10" ht="18.75">
      <c r="A8" s="10" t="s">
        <v>50</v>
      </c>
    </row>
    <row r="9" spans="1:10">
      <c r="A9" t="s">
        <v>55</v>
      </c>
      <c r="B9" s="7" t="s">
        <v>56</v>
      </c>
      <c r="C9" s="7" t="s">
        <v>33</v>
      </c>
    </row>
    <row r="10" spans="1:10">
      <c r="A10" t="s">
        <v>57</v>
      </c>
      <c r="B10" s="4">
        <f>'P&amp;L'!B4</f>
        <v>932646</v>
      </c>
      <c r="C10" s="4">
        <f>'P&amp;L'!B13</f>
        <v>894144.61999999988</v>
      </c>
    </row>
    <row r="11" spans="1:10">
      <c r="A11" t="s">
        <v>58</v>
      </c>
      <c r="B11" s="4">
        <f>'P&amp;L'!C4</f>
        <v>926168.61</v>
      </c>
      <c r="C11" s="4">
        <f>'P&amp;L'!C13</f>
        <v>926290.92</v>
      </c>
    </row>
    <row r="12" spans="1:10">
      <c r="A12" t="s">
        <v>59</v>
      </c>
      <c r="B12" s="4">
        <f>'P&amp;L'!D4</f>
        <v>994175.52</v>
      </c>
      <c r="C12" s="4">
        <f>'P&amp;L'!D13</f>
        <v>932285.42999999982</v>
      </c>
    </row>
    <row r="13" spans="1:10">
      <c r="A13" t="s">
        <v>60</v>
      </c>
      <c r="B13" s="4">
        <f>'P&amp;L'!E4</f>
        <v>988604.76</v>
      </c>
      <c r="C13" s="4">
        <f>'P&amp;L'!E13</f>
        <v>952516.99999999988</v>
      </c>
    </row>
    <row r="14" spans="1:10">
      <c r="A14" t="s">
        <v>61</v>
      </c>
      <c r="B14" s="4">
        <f>'P&amp;L'!F4</f>
        <v>1050294.3</v>
      </c>
      <c r="C14" s="4">
        <f>'P&amp;L'!F13</f>
        <v>958781.97</v>
      </c>
    </row>
    <row r="15" spans="1:10">
      <c r="A15" t="s">
        <v>62</v>
      </c>
      <c r="B15" s="4">
        <f>'P&amp;L'!G4</f>
        <v>1032413.04</v>
      </c>
      <c r="C15" s="4">
        <f>'P&amp;L'!G13</f>
        <v>970304.16</v>
      </c>
    </row>
    <row r="20" spans="1:7" ht="18.75">
      <c r="A20" s="10" t="s">
        <v>54</v>
      </c>
    </row>
    <row r="21" spans="1:7">
      <c r="A21" s="9" t="s">
        <v>20</v>
      </c>
      <c r="B21" s="7" t="s">
        <v>34</v>
      </c>
      <c r="C21" s="7" t="s">
        <v>31</v>
      </c>
      <c r="D21" s="7" t="s">
        <v>63</v>
      </c>
      <c r="F21" s="7" t="s">
        <v>20</v>
      </c>
      <c r="G21" s="7" t="s">
        <v>31</v>
      </c>
    </row>
    <row r="22" spans="1:7">
      <c r="A22" t="s">
        <v>23</v>
      </c>
      <c r="B22" s="4">
        <f>'P&amp;L'!B51</f>
        <v>2455398.5</v>
      </c>
      <c r="C22" s="4">
        <f>'P&amp;L'!G51</f>
        <v>624704.05000000005</v>
      </c>
      <c r="D22" s="5">
        <f>'P&amp;L'!H51</f>
        <v>0.25442063681312832</v>
      </c>
      <c r="F22" t="s">
        <v>23</v>
      </c>
      <c r="G22">
        <f>C22</f>
        <v>624704.05000000005</v>
      </c>
    </row>
    <row r="23" spans="1:7">
      <c r="A23" t="s">
        <v>25</v>
      </c>
      <c r="B23" s="4">
        <f>'P&amp;L'!B52</f>
        <v>2039860.29</v>
      </c>
      <c r="C23" s="4">
        <f>'P&amp;L'!G52</f>
        <v>546074.18000000005</v>
      </c>
      <c r="D23" s="5">
        <f>'P&amp;L'!H52</f>
        <v>0.26770175520206829</v>
      </c>
      <c r="F23" t="s">
        <v>25</v>
      </c>
      <c r="G23">
        <f>C23</f>
        <v>546074.18000000005</v>
      </c>
    </row>
    <row r="24" spans="1:7">
      <c r="A24" t="s">
        <v>27</v>
      </c>
      <c r="B24" s="4">
        <f>'P&amp;L'!B53</f>
        <v>1429043.4400000002</v>
      </c>
      <c r="C24" s="4">
        <f>'P&amp;L'!G53</f>
        <v>366561.76000000013</v>
      </c>
      <c r="D24" s="5">
        <f>'P&amp;L'!H53</f>
        <v>0.25650847954629014</v>
      </c>
      <c r="F24" t="s">
        <v>27</v>
      </c>
      <c r="G24">
        <f>C24</f>
        <v>366561.76000000013</v>
      </c>
    </row>
    <row r="30" spans="1:7">
      <c r="A30" s="7" t="s">
        <v>64</v>
      </c>
    </row>
    <row r="31" spans="1:7">
      <c r="A31" t="s">
        <v>65</v>
      </c>
    </row>
    <row r="32" spans="1:7">
      <c r="A32" t="s">
        <v>66</v>
      </c>
    </row>
    <row r="33" spans="1:1">
      <c r="A33" t="s">
        <v>67</v>
      </c>
    </row>
    <row r="34" spans="1:1">
      <c r="A34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13EF-1515-4EC9-8340-FFEA24B5D68B}">
  <dimension ref="A1:SF199"/>
  <sheetViews>
    <sheetView topLeftCell="A64" workbookViewId="0">
      <selection activeCell="A2" sqref="A2:A199"/>
    </sheetView>
  </sheetViews>
  <sheetFormatPr defaultRowHeight="15"/>
  <cols>
    <col min="1" max="1" width="10.140625" bestFit="1" customWidth="1"/>
    <col min="2" max="2" width="10.28515625" customWidth="1"/>
    <col min="3" max="3" width="13.42578125" customWidth="1"/>
    <col min="4" max="4" width="17.28515625" customWidth="1"/>
    <col min="5" max="5" width="10.28515625" customWidth="1"/>
    <col min="6" max="6" width="16" customWidth="1"/>
    <col min="7" max="7" width="15" customWidth="1"/>
  </cols>
  <sheetData>
    <row r="1" spans="1:500">
      <c r="A1" s="2" t="s">
        <v>18</v>
      </c>
      <c r="B1" t="s">
        <v>0</v>
      </c>
      <c r="C1" t="s">
        <v>19</v>
      </c>
      <c r="D1" t="s">
        <v>20</v>
      </c>
      <c r="E1" t="s">
        <v>21</v>
      </c>
      <c r="F1" t="s">
        <v>1</v>
      </c>
      <c r="G1" t="s">
        <v>2</v>
      </c>
    </row>
    <row r="2" spans="1:500">
      <c r="A2" s="3">
        <v>46053</v>
      </c>
      <c r="B2" s="1">
        <v>3000</v>
      </c>
      <c r="C2" s="1" t="s">
        <v>22</v>
      </c>
      <c r="D2" s="1" t="s">
        <v>23</v>
      </c>
      <c r="E2" s="1">
        <v>297600</v>
      </c>
      <c r="F2" s="1" t="str">
        <f>_xlfn.XLOOKUP(B2,Mapping!A:A,Mapping!B:B)</f>
        <v>Product Sales</v>
      </c>
      <c r="G2" s="1" t="str">
        <f>_xlfn.XLOOKUP(B2,Mapping!A:A,Mapping!C:C)</f>
        <v>Revenue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</row>
    <row r="3" spans="1:500">
      <c r="A3" s="3">
        <v>46053</v>
      </c>
      <c r="B3" s="1">
        <v>3100</v>
      </c>
      <c r="C3" s="1" t="s">
        <v>22</v>
      </c>
      <c r="D3" s="1" t="s">
        <v>23</v>
      </c>
      <c r="E3" s="1">
        <v>83300</v>
      </c>
      <c r="F3" s="1" t="str">
        <f>_xlfn.XLOOKUP(B3,Mapping!A:A,Mapping!B:B)</f>
        <v>Service Revenue</v>
      </c>
      <c r="G3" s="1" t="str">
        <f>_xlfn.XLOOKUP(B3,Mapping!A:A,Mapping!C:C)</f>
        <v>Revenue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</row>
    <row r="4" spans="1:500">
      <c r="A4" s="3">
        <v>46053</v>
      </c>
      <c r="B4" s="1">
        <v>4000</v>
      </c>
      <c r="C4" s="1" t="s">
        <v>22</v>
      </c>
      <c r="D4" s="1" t="s">
        <v>23</v>
      </c>
      <c r="E4" s="1">
        <v>-128000</v>
      </c>
      <c r="F4" s="1" t="str">
        <f>_xlfn.XLOOKUP(B4,Mapping!A:A,Mapping!B:B)</f>
        <v>Materials</v>
      </c>
      <c r="G4" s="1" t="str">
        <f>_xlfn.XLOOKUP(B4,Mapping!A:A,Mapping!C:C)</f>
        <v>COGS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</row>
    <row r="5" spans="1:500">
      <c r="A5" s="3">
        <v>46053</v>
      </c>
      <c r="B5" s="1">
        <v>4100</v>
      </c>
      <c r="C5" s="1" t="s">
        <v>22</v>
      </c>
      <c r="D5" s="1" t="s">
        <v>23</v>
      </c>
      <c r="E5" s="1">
        <v>-27540</v>
      </c>
      <c r="F5" s="1" t="str">
        <f>_xlfn.XLOOKUP(B5,Mapping!A:A,Mapping!B:B)</f>
        <v>Freight &amp; Logistics</v>
      </c>
      <c r="G5" s="1" t="str">
        <f>_xlfn.XLOOKUP(B5,Mapping!A:A,Mapping!C:C)</f>
        <v>COGS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</row>
    <row r="6" spans="1:500">
      <c r="A6" s="3">
        <v>46053</v>
      </c>
      <c r="B6" s="1">
        <v>5000</v>
      </c>
      <c r="C6" s="1" t="s">
        <v>22</v>
      </c>
      <c r="D6" s="1" t="s">
        <v>23</v>
      </c>
      <c r="E6" s="1">
        <v>-74880</v>
      </c>
      <c r="F6" s="1" t="str">
        <f>_xlfn.XLOOKUP(B6,Mapping!A:A,Mapping!B:B)</f>
        <v>Salaries</v>
      </c>
      <c r="G6" s="1" t="str">
        <f>_xlfn.XLOOKUP(B6,Mapping!A:A,Mapping!C:C)</f>
        <v>Personnel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</row>
    <row r="7" spans="1:500">
      <c r="A7" s="3">
        <v>46053</v>
      </c>
      <c r="B7" s="1">
        <v>5100</v>
      </c>
      <c r="C7" s="1" t="s">
        <v>22</v>
      </c>
      <c r="D7" s="1" t="s">
        <v>23</v>
      </c>
      <c r="E7" s="1">
        <v>-15520</v>
      </c>
      <c r="F7" s="1" t="str">
        <f>_xlfn.XLOOKUP(B7,Mapping!A:A,Mapping!B:B)</f>
        <v>Employee Benefits</v>
      </c>
      <c r="G7" s="1" t="str">
        <f>_xlfn.XLOOKUP(B7,Mapping!A:A,Mapping!C:C)</f>
        <v>Personnel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</row>
    <row r="8" spans="1:500">
      <c r="A8" s="3">
        <v>46053</v>
      </c>
      <c r="B8" s="1">
        <v>6000</v>
      </c>
      <c r="C8" s="1" t="s">
        <v>22</v>
      </c>
      <c r="D8" s="1" t="s">
        <v>23</v>
      </c>
      <c r="E8" s="1">
        <v>-14850</v>
      </c>
      <c r="F8" s="1" t="str">
        <f>_xlfn.XLOOKUP(B8,Mapping!A:A,Mapping!B:B)</f>
        <v xml:space="preserve">Rent </v>
      </c>
      <c r="G8" s="1" t="str">
        <f>_xlfn.XLOOKUP(B8,Mapping!A:A,Mapping!C:C)</f>
        <v>Other OPEX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</row>
    <row r="9" spans="1:500">
      <c r="A9" s="3">
        <v>46053</v>
      </c>
      <c r="B9" s="1">
        <v>6100</v>
      </c>
      <c r="C9" s="1" t="s">
        <v>22</v>
      </c>
      <c r="D9" s="1" t="s">
        <v>23</v>
      </c>
      <c r="E9" s="1">
        <v>-12120</v>
      </c>
      <c r="F9" s="1" t="str">
        <f>_xlfn.XLOOKUP(B9,Mapping!A:A,Mapping!B:B)</f>
        <v>IT &amp; Software</v>
      </c>
      <c r="G9" s="1" t="str">
        <f>_xlfn.XLOOKUP(B9,Mapping!A:A,Mapping!C:C)</f>
        <v>Other OPEX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</row>
    <row r="10" spans="1:500">
      <c r="A10" s="3">
        <v>46053</v>
      </c>
      <c r="B10" s="1">
        <v>6200</v>
      </c>
      <c r="C10" s="1" t="s">
        <v>22</v>
      </c>
      <c r="D10" s="1" t="s">
        <v>23</v>
      </c>
      <c r="E10" s="1">
        <v>-9270</v>
      </c>
      <c r="F10" s="1" t="str">
        <f>_xlfn.XLOOKUP(B10,Mapping!A:A,Mapping!B:B)</f>
        <v>Marketing</v>
      </c>
      <c r="G10" s="1" t="str">
        <f>_xlfn.XLOOKUP(B10,Mapping!A:A,Mapping!C:C)</f>
        <v>Other OPEX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</row>
    <row r="11" spans="1:500">
      <c r="A11" s="3">
        <v>46053</v>
      </c>
      <c r="B11" s="1">
        <v>6300</v>
      </c>
      <c r="C11" s="1" t="s">
        <v>22</v>
      </c>
      <c r="D11" s="1" t="s">
        <v>23</v>
      </c>
      <c r="E11" s="1">
        <v>-5280</v>
      </c>
      <c r="F11" s="1" t="str">
        <f>_xlfn.XLOOKUP(B11,Mapping!A:A,Mapping!B:B)</f>
        <v>Travel</v>
      </c>
      <c r="G11" s="1" t="str">
        <f>_xlfn.XLOOKUP(B11,Mapping!A:A,Mapping!C:C)</f>
        <v>Other OPEX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</row>
    <row r="12" spans="1:500">
      <c r="A12" s="3">
        <v>46053</v>
      </c>
      <c r="B12" s="1">
        <v>6400</v>
      </c>
      <c r="C12" s="1" t="s">
        <v>22</v>
      </c>
      <c r="D12" s="1" t="s">
        <v>23</v>
      </c>
      <c r="E12" s="1">
        <v>-7840</v>
      </c>
      <c r="F12" s="1" t="str">
        <f>_xlfn.XLOOKUP(B12,Mapping!A:A,Mapping!B:B)</f>
        <v>Professional Services</v>
      </c>
      <c r="G12" s="1" t="str">
        <f>_xlfn.XLOOKUP(B12,Mapping!A:A,Mapping!C:C)</f>
        <v>Other OPEX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</row>
    <row r="13" spans="1:500">
      <c r="A13" s="3">
        <v>46053</v>
      </c>
      <c r="B13" s="1">
        <v>3000</v>
      </c>
      <c r="C13" s="1" t="s">
        <v>24</v>
      </c>
      <c r="D13" s="1" t="s">
        <v>25</v>
      </c>
      <c r="E13" s="1">
        <v>256742</v>
      </c>
      <c r="F13" s="1" t="str">
        <f>_xlfn.XLOOKUP(B13,Mapping!A:A,Mapping!B:B)</f>
        <v>Product Sales</v>
      </c>
      <c r="G13" s="1" t="str">
        <f>_xlfn.XLOOKUP(B13,Mapping!A:A,Mapping!C:C)</f>
        <v>Revenue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</row>
    <row r="14" spans="1:500">
      <c r="A14" s="3">
        <v>46053</v>
      </c>
      <c r="B14" s="1">
        <v>3100</v>
      </c>
      <c r="C14" s="1" t="s">
        <v>24</v>
      </c>
      <c r="D14" s="1" t="s">
        <v>25</v>
      </c>
      <c r="E14" s="1">
        <v>71791</v>
      </c>
      <c r="F14" s="1" t="str">
        <f>_xlfn.XLOOKUP(B14,Mapping!A:A,Mapping!B:B)</f>
        <v>Service Revenue</v>
      </c>
      <c r="G14" s="1" t="str">
        <f>_xlfn.XLOOKUP(B14,Mapping!A:A,Mapping!C:C)</f>
        <v>Revenue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</row>
    <row r="15" spans="1:500">
      <c r="A15" s="3">
        <v>46053</v>
      </c>
      <c r="B15" s="1">
        <v>4000</v>
      </c>
      <c r="C15" s="1" t="s">
        <v>24</v>
      </c>
      <c r="D15" s="1" t="s">
        <v>25</v>
      </c>
      <c r="E15" s="1">
        <v>-100761.60000000001</v>
      </c>
      <c r="F15" s="1" t="str">
        <f>_xlfn.XLOOKUP(B15,Mapping!A:A,Mapping!B:B)</f>
        <v>Materials</v>
      </c>
      <c r="G15" s="1" t="str">
        <f>_xlfn.XLOOKUP(B15,Mapping!A:A,Mapping!C:C)</f>
        <v>COGS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</row>
    <row r="16" spans="1:500">
      <c r="A16" s="3">
        <v>46053</v>
      </c>
      <c r="B16" s="1">
        <v>4100</v>
      </c>
      <c r="C16" s="1" t="s">
        <v>24</v>
      </c>
      <c r="D16" s="1" t="s">
        <v>25</v>
      </c>
      <c r="E16" s="1">
        <v>-21697.200000000001</v>
      </c>
      <c r="F16" s="1" t="str">
        <f>_xlfn.XLOOKUP(B16,Mapping!A:A,Mapping!B:B)</f>
        <v>Freight &amp; Logistics</v>
      </c>
      <c r="G16" s="1" t="str">
        <f>_xlfn.XLOOKUP(B16,Mapping!A:A,Mapping!C:C)</f>
        <v>COGS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</row>
    <row r="17" spans="1:500">
      <c r="A17" s="3">
        <v>46053</v>
      </c>
      <c r="B17" s="1">
        <v>5000</v>
      </c>
      <c r="C17" s="1" t="s">
        <v>24</v>
      </c>
      <c r="D17" s="1" t="s">
        <v>25</v>
      </c>
      <c r="E17" s="1">
        <v>-59040</v>
      </c>
      <c r="F17" s="1" t="str">
        <f>_xlfn.XLOOKUP(B17,Mapping!A:A,Mapping!B:B)</f>
        <v>Salaries</v>
      </c>
      <c r="G17" s="1" t="str">
        <f>_xlfn.XLOOKUP(B17,Mapping!A:A,Mapping!C:C)</f>
        <v>Personnel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</row>
    <row r="18" spans="1:500">
      <c r="A18" s="3">
        <v>46053</v>
      </c>
      <c r="B18" s="1">
        <v>5100</v>
      </c>
      <c r="C18" s="1" t="s">
        <v>24</v>
      </c>
      <c r="D18" s="1" t="s">
        <v>25</v>
      </c>
      <c r="E18" s="1">
        <v>-13382.4</v>
      </c>
      <c r="F18" s="1" t="str">
        <f>_xlfn.XLOOKUP(B18,Mapping!A:A,Mapping!B:B)</f>
        <v>Employee Benefits</v>
      </c>
      <c r="G18" s="1" t="str">
        <f>_xlfn.XLOOKUP(B18,Mapping!A:A,Mapping!C:C)</f>
        <v>Personnel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</row>
    <row r="19" spans="1:500">
      <c r="A19" s="3">
        <v>46053</v>
      </c>
      <c r="B19" s="1">
        <v>6000</v>
      </c>
      <c r="C19" s="1" t="s">
        <v>24</v>
      </c>
      <c r="D19" s="1" t="s">
        <v>25</v>
      </c>
      <c r="E19" s="1">
        <v>-12792</v>
      </c>
      <c r="F19" s="1" t="str">
        <f>_xlfn.XLOOKUP(B19,Mapping!A:A,Mapping!B:B)</f>
        <v xml:space="preserve">Rent </v>
      </c>
      <c r="G19" s="1" t="str">
        <f>_xlfn.XLOOKUP(B19,Mapping!A:A,Mapping!C:C)</f>
        <v>Other OPEX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</row>
    <row r="20" spans="1:500">
      <c r="A20" s="3">
        <v>46053</v>
      </c>
      <c r="B20" s="1">
        <v>6100</v>
      </c>
      <c r="C20" s="1" t="s">
        <v>24</v>
      </c>
      <c r="D20" s="1" t="s">
        <v>25</v>
      </c>
      <c r="E20" s="1">
        <v>-9544.7999999999993</v>
      </c>
      <c r="F20" s="1" t="str">
        <f>_xlfn.XLOOKUP(B20,Mapping!A:A,Mapping!B:B)</f>
        <v>IT &amp; Software</v>
      </c>
      <c r="G20" s="1" t="str">
        <f>_xlfn.XLOOKUP(B20,Mapping!A:A,Mapping!C:C)</f>
        <v>Other OPEX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</row>
    <row r="21" spans="1:500">
      <c r="A21" s="3">
        <v>46053</v>
      </c>
      <c r="B21" s="1">
        <v>6200</v>
      </c>
      <c r="C21" s="1" t="s">
        <v>24</v>
      </c>
      <c r="D21" s="1" t="s">
        <v>25</v>
      </c>
      <c r="E21" s="1">
        <v>-7306.2</v>
      </c>
      <c r="F21" s="1" t="str">
        <f>_xlfn.XLOOKUP(B21,Mapping!A:A,Mapping!B:B)</f>
        <v>Marketing</v>
      </c>
      <c r="G21" s="1" t="str">
        <f>_xlfn.XLOOKUP(B21,Mapping!A:A,Mapping!C:C)</f>
        <v>Other OPEX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</row>
    <row r="22" spans="1:500">
      <c r="A22" s="3">
        <v>46053</v>
      </c>
      <c r="B22" s="1">
        <v>6300</v>
      </c>
      <c r="C22" s="1" t="s">
        <v>24</v>
      </c>
      <c r="D22" s="1" t="s">
        <v>25</v>
      </c>
      <c r="E22" s="1">
        <v>-4555.1000000000004</v>
      </c>
      <c r="F22" s="1" t="str">
        <f>_xlfn.XLOOKUP(B22,Mapping!A:A,Mapping!B:B)</f>
        <v>Travel</v>
      </c>
      <c r="G22" s="1" t="str">
        <f>_xlfn.XLOOKUP(B22,Mapping!A:A,Mapping!C:C)</f>
        <v>Other OPEX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</row>
    <row r="23" spans="1:500">
      <c r="A23" s="3">
        <v>46053</v>
      </c>
      <c r="B23" s="1">
        <v>6400</v>
      </c>
      <c r="C23" s="1" t="s">
        <v>24</v>
      </c>
      <c r="D23" s="1" t="s">
        <v>25</v>
      </c>
      <c r="E23" s="1">
        <v>-6756.8</v>
      </c>
      <c r="F23" s="1" t="str">
        <f>_xlfn.XLOOKUP(B23,Mapping!A:A,Mapping!B:B)</f>
        <v>Professional Services</v>
      </c>
      <c r="G23" s="1" t="str">
        <f>_xlfn.XLOOKUP(B23,Mapping!A:A,Mapping!C:C)</f>
        <v>Other OPEX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</row>
    <row r="24" spans="1:500">
      <c r="A24" s="3">
        <v>46053</v>
      </c>
      <c r="B24" s="1">
        <v>3000</v>
      </c>
      <c r="C24" s="1" t="s">
        <v>26</v>
      </c>
      <c r="D24" s="1" t="s">
        <v>27</v>
      </c>
      <c r="E24" s="1">
        <v>174406</v>
      </c>
      <c r="F24" s="1" t="str">
        <f>_xlfn.XLOOKUP(B24,Mapping!A:A,Mapping!B:B)</f>
        <v>Product Sales</v>
      </c>
      <c r="G24" s="1" t="str">
        <f>_xlfn.XLOOKUP(B24,Mapping!A:A,Mapping!C:C)</f>
        <v>Revenue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</row>
    <row r="25" spans="1:500">
      <c r="A25" s="3">
        <v>46053</v>
      </c>
      <c r="B25" s="1">
        <v>3100</v>
      </c>
      <c r="C25" s="1" t="s">
        <v>26</v>
      </c>
      <c r="D25" s="1" t="s">
        <v>27</v>
      </c>
      <c r="E25" s="1">
        <v>48807</v>
      </c>
      <c r="F25" s="1" t="str">
        <f>_xlfn.XLOOKUP(B25,Mapping!A:A,Mapping!B:B)</f>
        <v>Service Revenue</v>
      </c>
      <c r="G25" s="1" t="str">
        <f>_xlfn.XLOOKUP(B25,Mapping!A:A,Mapping!C:C)</f>
        <v>Revenue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</row>
    <row r="26" spans="1:500">
      <c r="A26" s="3">
        <v>46053</v>
      </c>
      <c r="B26" s="1">
        <v>4000</v>
      </c>
      <c r="C26" s="1" t="s">
        <v>26</v>
      </c>
      <c r="D26" s="1" t="s">
        <v>27</v>
      </c>
      <c r="E26" s="1">
        <v>-74982.399999999994</v>
      </c>
      <c r="F26" s="1" t="str">
        <f>_xlfn.XLOOKUP(B26,Mapping!A:A,Mapping!B:B)</f>
        <v>Materials</v>
      </c>
      <c r="G26" s="1" t="str">
        <f>_xlfn.XLOOKUP(B26,Mapping!A:A,Mapping!C:C)</f>
        <v>COGS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</row>
    <row r="27" spans="1:500">
      <c r="A27" s="3">
        <v>46053</v>
      </c>
      <c r="B27" s="1">
        <v>4100</v>
      </c>
      <c r="C27" s="1" t="s">
        <v>26</v>
      </c>
      <c r="D27" s="1" t="s">
        <v>27</v>
      </c>
      <c r="E27" s="1">
        <v>-16129.8</v>
      </c>
      <c r="F27" s="1" t="str">
        <f>_xlfn.XLOOKUP(B27,Mapping!A:A,Mapping!B:B)</f>
        <v>Freight &amp; Logistics</v>
      </c>
      <c r="G27" s="1" t="str">
        <f>_xlfn.XLOOKUP(B27,Mapping!A:A,Mapping!C:C)</f>
        <v>COGS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</row>
    <row r="28" spans="1:500">
      <c r="A28" s="3">
        <v>46053</v>
      </c>
      <c r="B28" s="1">
        <v>5000</v>
      </c>
      <c r="C28" s="1" t="s">
        <v>26</v>
      </c>
      <c r="D28" s="1" t="s">
        <v>27</v>
      </c>
      <c r="E28" s="1">
        <v>-40089.599999999999</v>
      </c>
      <c r="F28" s="1" t="str">
        <f>_xlfn.XLOOKUP(B28,Mapping!A:A,Mapping!B:B)</f>
        <v>Salaries</v>
      </c>
      <c r="G28" s="1" t="str">
        <f>_xlfn.XLOOKUP(B28,Mapping!A:A,Mapping!C:C)</f>
        <v>Personnel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</row>
    <row r="29" spans="1:500">
      <c r="A29" s="3">
        <v>46053</v>
      </c>
      <c r="B29" s="1">
        <v>5100</v>
      </c>
      <c r="C29" s="1" t="s">
        <v>26</v>
      </c>
      <c r="D29" s="1" t="s">
        <v>27</v>
      </c>
      <c r="E29" s="1">
        <v>-9094.4</v>
      </c>
      <c r="F29" s="1" t="str">
        <f>_xlfn.XLOOKUP(B29,Mapping!A:A,Mapping!B:B)</f>
        <v>Employee Benefits</v>
      </c>
      <c r="G29" s="1" t="str">
        <f>_xlfn.XLOOKUP(B29,Mapping!A:A,Mapping!C:C)</f>
        <v>Personnel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</row>
    <row r="30" spans="1:500">
      <c r="A30" s="3">
        <v>46053</v>
      </c>
      <c r="B30" s="1">
        <v>6000</v>
      </c>
      <c r="C30" s="1" t="s">
        <v>26</v>
      </c>
      <c r="D30" s="1" t="s">
        <v>27</v>
      </c>
      <c r="E30" s="1">
        <v>-8700</v>
      </c>
      <c r="F30" s="1" t="str">
        <f>_xlfn.XLOOKUP(B30,Mapping!A:A,Mapping!B:B)</f>
        <v xml:space="preserve">Rent </v>
      </c>
      <c r="G30" s="1" t="str">
        <f>_xlfn.XLOOKUP(B30,Mapping!A:A,Mapping!C:C)</f>
        <v>Other OPEX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</row>
    <row r="31" spans="1:500">
      <c r="A31" s="3">
        <v>46053</v>
      </c>
      <c r="B31" s="1">
        <v>6100</v>
      </c>
      <c r="C31" s="1" t="s">
        <v>26</v>
      </c>
      <c r="D31" s="1" t="s">
        <v>27</v>
      </c>
      <c r="E31" s="1">
        <v>-7099.2</v>
      </c>
      <c r="F31" s="1" t="str">
        <f>_xlfn.XLOOKUP(B31,Mapping!A:A,Mapping!B:B)</f>
        <v>IT &amp; Software</v>
      </c>
      <c r="G31" s="1" t="str">
        <f>_xlfn.XLOOKUP(B31,Mapping!A:A,Mapping!C:C)</f>
        <v>Other OPEX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</row>
    <row r="32" spans="1:500">
      <c r="A32" s="3">
        <v>46053</v>
      </c>
      <c r="B32" s="1">
        <v>6200</v>
      </c>
      <c r="C32" s="1" t="s">
        <v>26</v>
      </c>
      <c r="D32" s="1" t="s">
        <v>27</v>
      </c>
      <c r="E32" s="1">
        <v>-5428.8</v>
      </c>
      <c r="F32" s="1" t="str">
        <f>_xlfn.XLOOKUP(B32,Mapping!A:A,Mapping!B:B)</f>
        <v>Marketing</v>
      </c>
      <c r="G32" s="1" t="str">
        <f>_xlfn.XLOOKUP(B32,Mapping!A:A,Mapping!C:C)</f>
        <v>Other OPEX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</row>
    <row r="33" spans="1:500">
      <c r="A33" s="3">
        <v>46053</v>
      </c>
      <c r="B33" s="1">
        <v>6300</v>
      </c>
      <c r="C33" s="1" t="s">
        <v>26</v>
      </c>
      <c r="D33" s="1" t="s">
        <v>27</v>
      </c>
      <c r="E33" s="1">
        <v>-3094.3</v>
      </c>
      <c r="F33" s="1" t="str">
        <f>_xlfn.XLOOKUP(B33,Mapping!A:A,Mapping!B:B)</f>
        <v>Travel</v>
      </c>
      <c r="G33" s="1" t="str">
        <f>_xlfn.XLOOKUP(B33,Mapping!A:A,Mapping!C:C)</f>
        <v>Other OPEX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</row>
    <row r="34" spans="1:500">
      <c r="A34" s="3">
        <v>46053</v>
      </c>
      <c r="B34" s="1">
        <v>6400</v>
      </c>
      <c r="C34" s="1" t="s">
        <v>26</v>
      </c>
      <c r="D34" s="1" t="s">
        <v>27</v>
      </c>
      <c r="E34" s="1">
        <v>-4593.6000000000004</v>
      </c>
      <c r="F34" s="1" t="str">
        <f>_xlfn.XLOOKUP(B34,Mapping!A:A,Mapping!B:B)</f>
        <v>Professional Services</v>
      </c>
      <c r="G34" s="1" t="str">
        <f>_xlfn.XLOOKUP(B34,Mapping!A:A,Mapping!C:C)</f>
        <v>Other OPEX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</row>
    <row r="35" spans="1:500">
      <c r="A35" s="3">
        <v>46081</v>
      </c>
      <c r="B35" s="1">
        <v>3000</v>
      </c>
      <c r="C35" s="1" t="s">
        <v>22</v>
      </c>
      <c r="D35" s="1" t="s">
        <v>23</v>
      </c>
      <c r="E35" s="1">
        <v>297693</v>
      </c>
      <c r="F35" s="1" t="str">
        <f>_xlfn.XLOOKUP(B35,Mapping!A:A,Mapping!B:B)</f>
        <v>Product Sales</v>
      </c>
      <c r="G35" s="1" t="str">
        <f>_xlfn.XLOOKUP(B35,Mapping!A:A,Mapping!C:C)</f>
        <v>Revenue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</row>
    <row r="36" spans="1:500">
      <c r="A36" s="3">
        <v>46081</v>
      </c>
      <c r="B36" s="1">
        <v>3100</v>
      </c>
      <c r="C36" s="1" t="s">
        <v>22</v>
      </c>
      <c r="D36" s="1" t="s">
        <v>23</v>
      </c>
      <c r="E36" s="1">
        <v>83274.5</v>
      </c>
      <c r="F36" s="1" t="str">
        <f>_xlfn.XLOOKUP(B36,Mapping!A:A,Mapping!B:B)</f>
        <v>Service Revenue</v>
      </c>
      <c r="G36" s="1" t="str">
        <f>_xlfn.XLOOKUP(B36,Mapping!A:A,Mapping!C:C)</f>
        <v>Revenue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</row>
    <row r="37" spans="1:500">
      <c r="A37" s="3">
        <v>46081</v>
      </c>
      <c r="B37" s="1">
        <v>4000</v>
      </c>
      <c r="C37" s="1" t="s">
        <v>22</v>
      </c>
      <c r="D37" s="1" t="s">
        <v>23</v>
      </c>
      <c r="E37" s="1">
        <v>-127884.8</v>
      </c>
      <c r="F37" s="1" t="str">
        <f>_xlfn.XLOOKUP(B37,Mapping!A:A,Mapping!B:B)</f>
        <v>Materials</v>
      </c>
      <c r="G37" s="1" t="str">
        <f>_xlfn.XLOOKUP(B37,Mapping!A:A,Mapping!C:C)</f>
        <v>COGS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</row>
    <row r="38" spans="1:500">
      <c r="A38" s="3">
        <v>46081</v>
      </c>
      <c r="B38" s="1">
        <v>4100</v>
      </c>
      <c r="C38" s="1" t="s">
        <v>22</v>
      </c>
      <c r="D38" s="1" t="s">
        <v>23</v>
      </c>
      <c r="E38" s="1">
        <v>-25142.400000000001</v>
      </c>
      <c r="F38" s="1" t="str">
        <f>_xlfn.XLOOKUP(B38,Mapping!A:A,Mapping!B:B)</f>
        <v>Freight &amp; Logistics</v>
      </c>
      <c r="G38" s="1" t="str">
        <f>_xlfn.XLOOKUP(B38,Mapping!A:A,Mapping!C:C)</f>
        <v>COGS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</row>
    <row r="39" spans="1:500">
      <c r="A39" s="3">
        <v>46081</v>
      </c>
      <c r="B39" s="1">
        <v>5000</v>
      </c>
      <c r="C39" s="1" t="s">
        <v>22</v>
      </c>
      <c r="D39" s="1" t="s">
        <v>23</v>
      </c>
      <c r="E39" s="1">
        <v>-68443.199999999997</v>
      </c>
      <c r="F39" s="1" t="str">
        <f>_xlfn.XLOOKUP(B39,Mapping!A:A,Mapping!B:B)</f>
        <v>Salaries</v>
      </c>
      <c r="G39" s="1" t="str">
        <f>_xlfn.XLOOKUP(B39,Mapping!A:A,Mapping!C:C)</f>
        <v>Personnel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</row>
    <row r="40" spans="1:500">
      <c r="A40" s="3">
        <v>46081</v>
      </c>
      <c r="B40" s="1">
        <v>5100</v>
      </c>
      <c r="C40" s="1" t="s">
        <v>22</v>
      </c>
      <c r="D40" s="1" t="s">
        <v>23</v>
      </c>
      <c r="E40" s="1">
        <v>-15520</v>
      </c>
      <c r="F40" s="1" t="str">
        <f>_xlfn.XLOOKUP(B40,Mapping!A:A,Mapping!B:B)</f>
        <v>Employee Benefits</v>
      </c>
      <c r="G40" s="1" t="str">
        <f>_xlfn.XLOOKUP(B40,Mapping!A:A,Mapping!C:C)</f>
        <v>Personnel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</row>
    <row r="41" spans="1:500">
      <c r="A41" s="3">
        <v>46081</v>
      </c>
      <c r="B41" s="1">
        <v>6000</v>
      </c>
      <c r="C41" s="1" t="s">
        <v>22</v>
      </c>
      <c r="D41" s="1" t="s">
        <v>23</v>
      </c>
      <c r="E41" s="1">
        <v>-14841</v>
      </c>
      <c r="F41" s="1" t="str">
        <f>_xlfn.XLOOKUP(B41,Mapping!A:A,Mapping!B:B)</f>
        <v xml:space="preserve">Rent </v>
      </c>
      <c r="G41" s="1" t="str">
        <f>_xlfn.XLOOKUP(B41,Mapping!A:A,Mapping!C:C)</f>
        <v>Other OPEX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</row>
    <row r="42" spans="1:500">
      <c r="A42" s="3">
        <v>46081</v>
      </c>
      <c r="B42" s="1">
        <v>6100</v>
      </c>
      <c r="C42" s="1" t="s">
        <v>22</v>
      </c>
      <c r="D42" s="1" t="s">
        <v>23</v>
      </c>
      <c r="E42" s="1">
        <v>-12105.6</v>
      </c>
      <c r="F42" s="1" t="str">
        <f>_xlfn.XLOOKUP(B42,Mapping!A:A,Mapping!B:B)</f>
        <v>IT &amp; Software</v>
      </c>
      <c r="G42" s="1" t="str">
        <f>_xlfn.XLOOKUP(B42,Mapping!A:A,Mapping!C:C)</f>
        <v>Other OPEX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</row>
    <row r="43" spans="1:500">
      <c r="A43" s="3">
        <v>46081</v>
      </c>
      <c r="B43" s="1">
        <v>6200</v>
      </c>
      <c r="C43" s="1" t="s">
        <v>22</v>
      </c>
      <c r="D43" s="1" t="s">
        <v>23</v>
      </c>
      <c r="E43" s="1">
        <v>-8468.1</v>
      </c>
      <c r="F43" s="1" t="str">
        <f>_xlfn.XLOOKUP(B43,Mapping!A:A,Mapping!B:B)</f>
        <v>Marketing</v>
      </c>
      <c r="G43" s="1" t="str">
        <f>_xlfn.XLOOKUP(B43,Mapping!A:A,Mapping!C:C)</f>
        <v>Other OPEX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</row>
    <row r="44" spans="1:500">
      <c r="A44" s="3">
        <v>46081</v>
      </c>
      <c r="B44" s="1">
        <v>6300</v>
      </c>
      <c r="C44" s="1" t="s">
        <v>22</v>
      </c>
      <c r="D44" s="1" t="s">
        <v>23</v>
      </c>
      <c r="E44" s="1">
        <v>-5281.65</v>
      </c>
      <c r="F44" s="1" t="str">
        <f>_xlfn.XLOOKUP(B44,Mapping!A:A,Mapping!B:B)</f>
        <v>Travel</v>
      </c>
      <c r="G44" s="1" t="str">
        <f>_xlfn.XLOOKUP(B44,Mapping!A:A,Mapping!C:C)</f>
        <v>Other OPEX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</row>
    <row r="45" spans="1:500">
      <c r="A45" s="3">
        <v>46081</v>
      </c>
      <c r="B45" s="1">
        <v>6400</v>
      </c>
      <c r="C45" s="1" t="s">
        <v>22</v>
      </c>
      <c r="D45" s="1" t="s">
        <v>23</v>
      </c>
      <c r="E45" s="1">
        <v>-7837.6</v>
      </c>
      <c r="F45" s="1" t="str">
        <f>_xlfn.XLOOKUP(B45,Mapping!A:A,Mapping!B:B)</f>
        <v>Professional Services</v>
      </c>
      <c r="G45" s="1" t="str">
        <f>_xlfn.XLOOKUP(B45,Mapping!A:A,Mapping!C:C)</f>
        <v>Other OPEX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</row>
    <row r="46" spans="1:500">
      <c r="A46" s="3">
        <v>46081</v>
      </c>
      <c r="B46" s="1">
        <v>3000</v>
      </c>
      <c r="C46" s="1" t="s">
        <v>24</v>
      </c>
      <c r="D46" s="1" t="s">
        <v>25</v>
      </c>
      <c r="E46" s="1">
        <v>256436.96</v>
      </c>
      <c r="F46" s="1" t="str">
        <f>_xlfn.XLOOKUP(B46,Mapping!A:A,Mapping!B:B)</f>
        <v>Product Sales</v>
      </c>
      <c r="G46" s="1" t="str">
        <f>_xlfn.XLOOKUP(B46,Mapping!A:A,Mapping!C:C)</f>
        <v>Revenue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</row>
    <row r="47" spans="1:500">
      <c r="A47" s="3">
        <v>46081</v>
      </c>
      <c r="B47" s="1">
        <v>3100</v>
      </c>
      <c r="C47" s="1" t="s">
        <v>24</v>
      </c>
      <c r="D47" s="1" t="s">
        <v>25</v>
      </c>
      <c r="E47" s="1">
        <v>65580.73</v>
      </c>
      <c r="F47" s="1" t="str">
        <f>_xlfn.XLOOKUP(B47,Mapping!A:A,Mapping!B:B)</f>
        <v>Service Revenue</v>
      </c>
      <c r="G47" s="1" t="str">
        <f>_xlfn.XLOOKUP(B47,Mapping!A:A,Mapping!C:C)</f>
        <v>Revenue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</row>
    <row r="48" spans="1:500">
      <c r="A48" s="3">
        <v>46081</v>
      </c>
      <c r="B48" s="1">
        <v>4000</v>
      </c>
      <c r="C48" s="1" t="s">
        <v>24</v>
      </c>
      <c r="D48" s="1" t="s">
        <v>25</v>
      </c>
      <c r="E48" s="1">
        <v>-100793.09</v>
      </c>
      <c r="F48" s="1" t="str">
        <f>_xlfn.XLOOKUP(B48,Mapping!A:A,Mapping!B:B)</f>
        <v>Materials</v>
      </c>
      <c r="G48" s="1" t="str">
        <f>_xlfn.XLOOKUP(B48,Mapping!A:A,Mapping!C:C)</f>
        <v>COGS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</row>
    <row r="49" spans="1:500">
      <c r="A49" s="3">
        <v>46081</v>
      </c>
      <c r="B49" s="1">
        <v>4100</v>
      </c>
      <c r="C49" s="1" t="s">
        <v>24</v>
      </c>
      <c r="D49" s="1" t="s">
        <v>25</v>
      </c>
      <c r="E49" s="1">
        <v>-21690.560000000001</v>
      </c>
      <c r="F49" s="1" t="str">
        <f>_xlfn.XLOOKUP(B49,Mapping!A:A,Mapping!B:B)</f>
        <v>Freight &amp; Logistics</v>
      </c>
      <c r="G49" s="1" t="str">
        <f>_xlfn.XLOOKUP(B49,Mapping!A:A,Mapping!C:C)</f>
        <v>COGS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</row>
    <row r="50" spans="1:500">
      <c r="A50" s="3">
        <v>46081</v>
      </c>
      <c r="B50" s="1">
        <v>5000</v>
      </c>
      <c r="C50" s="1" t="s">
        <v>24</v>
      </c>
      <c r="D50" s="1" t="s">
        <v>25</v>
      </c>
      <c r="E50" s="1">
        <v>-58986.86</v>
      </c>
      <c r="F50" s="1" t="str">
        <f>_xlfn.XLOOKUP(B50,Mapping!A:A,Mapping!B:B)</f>
        <v>Salaries</v>
      </c>
      <c r="G50" s="1" t="str">
        <f>_xlfn.XLOOKUP(B50,Mapping!A:A,Mapping!C:C)</f>
        <v>Personnel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</row>
    <row r="51" spans="1:500">
      <c r="A51" s="3">
        <v>46081</v>
      </c>
      <c r="B51" s="1">
        <v>5100</v>
      </c>
      <c r="C51" s="1" t="s">
        <v>24</v>
      </c>
      <c r="D51" s="1" t="s">
        <v>25</v>
      </c>
      <c r="E51" s="1">
        <v>-12217.34</v>
      </c>
      <c r="F51" s="1" t="str">
        <f>_xlfn.XLOOKUP(B51,Mapping!A:A,Mapping!B:B)</f>
        <v>Employee Benefits</v>
      </c>
      <c r="G51" s="1" t="str">
        <f>_xlfn.XLOOKUP(B51,Mapping!A:A,Mapping!C:C)</f>
        <v>Personnel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</row>
    <row r="52" spans="1:500">
      <c r="A52" s="3">
        <v>46081</v>
      </c>
      <c r="B52" s="1">
        <v>6000</v>
      </c>
      <c r="C52" s="1" t="s">
        <v>24</v>
      </c>
      <c r="D52" s="1" t="s">
        <v>25</v>
      </c>
      <c r="E52" s="1">
        <v>-11692.38</v>
      </c>
      <c r="F52" s="1" t="str">
        <f>_xlfn.XLOOKUP(B52,Mapping!A:A,Mapping!B:B)</f>
        <v xml:space="preserve">Rent </v>
      </c>
      <c r="G52" s="1" t="str">
        <f>_xlfn.XLOOKUP(B52,Mapping!A:A,Mapping!C:C)</f>
        <v>Other OPEX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</row>
    <row r="53" spans="1:500">
      <c r="A53" s="3">
        <v>46081</v>
      </c>
      <c r="B53" s="1">
        <v>6100</v>
      </c>
      <c r="C53" s="1" t="s">
        <v>24</v>
      </c>
      <c r="D53" s="1" t="s">
        <v>25</v>
      </c>
      <c r="E53" s="1">
        <v>-9544.7999999999993</v>
      </c>
      <c r="F53" s="1" t="str">
        <f>_xlfn.XLOOKUP(B53,Mapping!A:A,Mapping!B:B)</f>
        <v>IT &amp; Software</v>
      </c>
      <c r="G53" s="1" t="str">
        <f>_xlfn.XLOOKUP(B53,Mapping!A:A,Mapping!C:C)</f>
        <v>Other OPEX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</row>
    <row r="54" spans="1:500">
      <c r="A54" s="3">
        <v>46081</v>
      </c>
      <c r="B54" s="1">
        <v>6200</v>
      </c>
      <c r="C54" s="1" t="s">
        <v>24</v>
      </c>
      <c r="D54" s="1" t="s">
        <v>25</v>
      </c>
      <c r="E54" s="1">
        <v>-7301.77</v>
      </c>
      <c r="F54" s="1" t="str">
        <f>_xlfn.XLOOKUP(B54,Mapping!A:A,Mapping!B:B)</f>
        <v>Marketing</v>
      </c>
      <c r="G54" s="1" t="str">
        <f>_xlfn.XLOOKUP(B54,Mapping!A:A,Mapping!C:C)</f>
        <v>Other OPEX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</row>
    <row r="55" spans="1:500">
      <c r="A55" s="3">
        <v>46081</v>
      </c>
      <c r="B55" s="1">
        <v>6300</v>
      </c>
      <c r="C55" s="1" t="s">
        <v>24</v>
      </c>
      <c r="D55" s="1" t="s">
        <v>25</v>
      </c>
      <c r="E55" s="1">
        <v>-4549.6899999999996</v>
      </c>
      <c r="F55" s="1" t="str">
        <f>_xlfn.XLOOKUP(B55,Mapping!A:A,Mapping!B:B)</f>
        <v>Travel</v>
      </c>
      <c r="G55" s="1" t="str">
        <f>_xlfn.XLOOKUP(B55,Mapping!A:A,Mapping!C:C)</f>
        <v>Other OPEX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</row>
    <row r="56" spans="1:500">
      <c r="A56" s="3">
        <v>46081</v>
      </c>
      <c r="B56" s="1">
        <v>6400</v>
      </c>
      <c r="C56" s="1" t="s">
        <v>24</v>
      </c>
      <c r="D56" s="1" t="s">
        <v>25</v>
      </c>
      <c r="E56" s="1">
        <v>-6172.3</v>
      </c>
      <c r="F56" s="1" t="str">
        <f>_xlfn.XLOOKUP(B56,Mapping!A:A,Mapping!B:B)</f>
        <v>Professional Services</v>
      </c>
      <c r="G56" s="1" t="str">
        <f>_xlfn.XLOOKUP(B56,Mapping!A:A,Mapping!C:C)</f>
        <v>Other OPEX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</row>
    <row r="57" spans="1:500">
      <c r="A57" s="3">
        <v>46081</v>
      </c>
      <c r="B57" s="1">
        <v>3000</v>
      </c>
      <c r="C57" s="1" t="s">
        <v>26</v>
      </c>
      <c r="D57" s="1" t="s">
        <v>27</v>
      </c>
      <c r="E57" s="1">
        <v>174406</v>
      </c>
      <c r="F57" s="1" t="str">
        <f>_xlfn.XLOOKUP(B57,Mapping!A:A,Mapping!B:B)</f>
        <v>Product Sales</v>
      </c>
      <c r="G57" s="1" t="str">
        <f>_xlfn.XLOOKUP(B57,Mapping!A:A,Mapping!C:C)</f>
        <v>Revenue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</row>
    <row r="58" spans="1:500">
      <c r="A58" s="3">
        <v>46081</v>
      </c>
      <c r="B58" s="1">
        <v>3100</v>
      </c>
      <c r="C58" s="1" t="s">
        <v>26</v>
      </c>
      <c r="D58" s="1" t="s">
        <v>27</v>
      </c>
      <c r="E58" s="1">
        <v>48777.42</v>
      </c>
      <c r="F58" s="1" t="str">
        <f>_xlfn.XLOOKUP(B58,Mapping!A:A,Mapping!B:B)</f>
        <v>Service Revenue</v>
      </c>
      <c r="G58" s="1" t="str">
        <f>_xlfn.XLOOKUP(B58,Mapping!A:A,Mapping!C:C)</f>
        <v>Revenue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</row>
    <row r="59" spans="1:500">
      <c r="A59" s="3">
        <v>46081</v>
      </c>
      <c r="B59" s="1">
        <v>4000</v>
      </c>
      <c r="C59" s="1" t="s">
        <v>26</v>
      </c>
      <c r="D59" s="1" t="s">
        <v>27</v>
      </c>
      <c r="E59" s="1">
        <v>-74893.31</v>
      </c>
      <c r="F59" s="1" t="str">
        <f>_xlfn.XLOOKUP(B59,Mapping!A:A,Mapping!B:B)</f>
        <v>Materials</v>
      </c>
      <c r="G59" s="1" t="str">
        <f>_xlfn.XLOOKUP(B59,Mapping!A:A,Mapping!C:C)</f>
        <v>COGS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</row>
    <row r="60" spans="1:500">
      <c r="A60" s="3">
        <v>46081</v>
      </c>
      <c r="B60" s="1">
        <v>4100</v>
      </c>
      <c r="C60" s="1" t="s">
        <v>26</v>
      </c>
      <c r="D60" s="1" t="s">
        <v>27</v>
      </c>
      <c r="E60" s="1">
        <v>-14734.49</v>
      </c>
      <c r="F60" s="1" t="str">
        <f>_xlfn.XLOOKUP(B60,Mapping!A:A,Mapping!B:B)</f>
        <v>Freight &amp; Logistics</v>
      </c>
      <c r="G60" s="1" t="str">
        <f>_xlfn.XLOOKUP(B60,Mapping!A:A,Mapping!C:C)</f>
        <v>COGS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</row>
    <row r="61" spans="1:500">
      <c r="A61" s="3">
        <v>46081</v>
      </c>
      <c r="B61" s="1">
        <v>5000</v>
      </c>
      <c r="C61" s="1" t="s">
        <v>26</v>
      </c>
      <c r="D61" s="1" t="s">
        <v>27</v>
      </c>
      <c r="E61" s="1">
        <v>-40102.129999999997</v>
      </c>
      <c r="F61" s="1" t="str">
        <f>_xlfn.XLOOKUP(B61,Mapping!A:A,Mapping!B:B)</f>
        <v>Salaries</v>
      </c>
      <c r="G61" s="1" t="str">
        <f>_xlfn.XLOOKUP(B61,Mapping!A:A,Mapping!C:C)</f>
        <v>Personnel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</row>
    <row r="62" spans="1:500">
      <c r="A62" s="3">
        <v>46081</v>
      </c>
      <c r="B62" s="1">
        <v>5100</v>
      </c>
      <c r="C62" s="1" t="s">
        <v>26</v>
      </c>
      <c r="D62" s="1" t="s">
        <v>27</v>
      </c>
      <c r="E62" s="1">
        <v>-9091.6200000000008</v>
      </c>
      <c r="F62" s="1" t="str">
        <f>_xlfn.XLOOKUP(B62,Mapping!A:A,Mapping!B:B)</f>
        <v>Employee Benefits</v>
      </c>
      <c r="G62" s="1" t="str">
        <f>_xlfn.XLOOKUP(B62,Mapping!A:A,Mapping!C:C)</f>
        <v>Personnel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</row>
    <row r="63" spans="1:500">
      <c r="A63" s="3">
        <v>46081</v>
      </c>
      <c r="B63" s="1">
        <v>6000</v>
      </c>
      <c r="C63" s="1" t="s">
        <v>26</v>
      </c>
      <c r="D63" s="1" t="s">
        <v>27</v>
      </c>
      <c r="E63" s="1">
        <v>-8692.17</v>
      </c>
      <c r="F63" s="1" t="str">
        <f>_xlfn.XLOOKUP(B63,Mapping!A:A,Mapping!B:B)</f>
        <v xml:space="preserve">Rent </v>
      </c>
      <c r="G63" s="1" t="str">
        <f>_xlfn.XLOOKUP(B63,Mapping!A:A,Mapping!C:C)</f>
        <v>Other OPEX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</row>
    <row r="64" spans="1:500">
      <c r="A64" s="3">
        <v>46081</v>
      </c>
      <c r="B64" s="1">
        <v>6100</v>
      </c>
      <c r="C64" s="1" t="s">
        <v>26</v>
      </c>
      <c r="D64" s="1" t="s">
        <v>27</v>
      </c>
      <c r="E64" s="1">
        <v>-6481.15</v>
      </c>
      <c r="F64" s="1" t="str">
        <f>_xlfn.XLOOKUP(B64,Mapping!A:A,Mapping!B:B)</f>
        <v>IT &amp; Software</v>
      </c>
      <c r="G64" s="1" t="str">
        <f>_xlfn.XLOOKUP(B64,Mapping!A:A,Mapping!C:C)</f>
        <v>Other OPEX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</row>
    <row r="65" spans="1:500">
      <c r="A65" s="3">
        <v>46081</v>
      </c>
      <c r="B65" s="1">
        <v>6200</v>
      </c>
      <c r="C65" s="1" t="s">
        <v>26</v>
      </c>
      <c r="D65" s="1" t="s">
        <v>27</v>
      </c>
      <c r="E65" s="1">
        <v>-4962.13</v>
      </c>
      <c r="F65" s="1" t="str">
        <f>_xlfn.XLOOKUP(B65,Mapping!A:A,Mapping!B:B)</f>
        <v>Marketing</v>
      </c>
      <c r="G65" s="1" t="str">
        <f>_xlfn.XLOOKUP(B65,Mapping!A:A,Mapping!C:C)</f>
        <v>Other OPEX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</row>
    <row r="66" spans="1:500">
      <c r="A66" s="3">
        <v>46081</v>
      </c>
      <c r="B66" s="1">
        <v>6300</v>
      </c>
      <c r="C66" s="1" t="s">
        <v>26</v>
      </c>
      <c r="D66" s="1" t="s">
        <v>27</v>
      </c>
      <c r="E66" s="1">
        <v>-3094.3</v>
      </c>
      <c r="F66" s="1" t="str">
        <f>_xlfn.XLOOKUP(B66,Mapping!A:A,Mapping!B:B)</f>
        <v>Travel</v>
      </c>
      <c r="G66" s="1" t="str">
        <f>_xlfn.XLOOKUP(B66,Mapping!A:A,Mapping!C:C)</f>
        <v>Other OPEX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</row>
    <row r="67" spans="1:500">
      <c r="A67" s="3">
        <v>46081</v>
      </c>
      <c r="B67" s="1">
        <v>6400</v>
      </c>
      <c r="C67" s="1" t="s">
        <v>26</v>
      </c>
      <c r="D67" s="1" t="s">
        <v>27</v>
      </c>
      <c r="E67" s="1">
        <v>-4590.82</v>
      </c>
      <c r="F67" s="1" t="str">
        <f>_xlfn.XLOOKUP(B67,Mapping!A:A,Mapping!B:B)</f>
        <v>Professional Services</v>
      </c>
      <c r="G67" s="1" t="str">
        <f>_xlfn.XLOOKUP(B67,Mapping!A:A,Mapping!C:C)</f>
        <v>Other OPEX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</row>
    <row r="68" spans="1:500">
      <c r="A68" s="3">
        <v>46112</v>
      </c>
      <c r="B68" s="1">
        <v>3000</v>
      </c>
      <c r="C68" s="1" t="s">
        <v>22</v>
      </c>
      <c r="D68" s="1" t="s">
        <v>23</v>
      </c>
      <c r="E68" s="1">
        <v>328848</v>
      </c>
      <c r="F68" s="1" t="str">
        <f>_xlfn.XLOOKUP(B68,Mapping!A:A,Mapping!B:B)</f>
        <v>Product Sales</v>
      </c>
      <c r="G68" s="1" t="str">
        <f>_xlfn.XLOOKUP(B68,Mapping!A:A,Mapping!C:C)</f>
        <v>Revenue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</row>
    <row r="69" spans="1:500">
      <c r="A69" s="3">
        <v>46112</v>
      </c>
      <c r="B69" s="1">
        <v>3100</v>
      </c>
      <c r="C69" s="1" t="s">
        <v>22</v>
      </c>
      <c r="D69" s="1" t="s">
        <v>23</v>
      </c>
      <c r="E69" s="1">
        <v>91936</v>
      </c>
      <c r="F69" s="1" t="str">
        <f>_xlfn.XLOOKUP(B69,Mapping!A:A,Mapping!B:B)</f>
        <v>Service Revenue</v>
      </c>
      <c r="G69" s="1" t="str">
        <f>_xlfn.XLOOKUP(B69,Mapping!A:A,Mapping!C:C)</f>
        <v>Revenue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</row>
    <row r="70" spans="1:500">
      <c r="A70" s="3">
        <v>46112</v>
      </c>
      <c r="B70" s="1">
        <v>4000</v>
      </c>
      <c r="C70" s="1" t="s">
        <v>22</v>
      </c>
      <c r="D70" s="1" t="s">
        <v>23</v>
      </c>
      <c r="E70" s="1">
        <v>-129126.39999999999</v>
      </c>
      <c r="F70" s="1" t="str">
        <f>_xlfn.XLOOKUP(B70,Mapping!A:A,Mapping!B:B)</f>
        <v>Materials</v>
      </c>
      <c r="G70" s="1" t="str">
        <f>_xlfn.XLOOKUP(B70,Mapping!A:A,Mapping!C:C)</f>
        <v>COGS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</row>
    <row r="71" spans="1:500">
      <c r="A71" s="3">
        <v>46112</v>
      </c>
      <c r="B71" s="1">
        <v>4100</v>
      </c>
      <c r="C71" s="1" t="s">
        <v>22</v>
      </c>
      <c r="D71" s="1" t="s">
        <v>23</v>
      </c>
      <c r="E71" s="1">
        <v>-27799.200000000001</v>
      </c>
      <c r="F71" s="1" t="str">
        <f>_xlfn.XLOOKUP(B71,Mapping!A:A,Mapping!B:B)</f>
        <v>Freight &amp; Logistics</v>
      </c>
      <c r="G71" s="1" t="str">
        <f>_xlfn.XLOOKUP(B71,Mapping!A:A,Mapping!C:C)</f>
        <v>COGS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</row>
    <row r="72" spans="1:500">
      <c r="A72" s="3">
        <v>46112</v>
      </c>
      <c r="B72" s="1">
        <v>5000</v>
      </c>
      <c r="C72" s="1" t="s">
        <v>22</v>
      </c>
      <c r="D72" s="1" t="s">
        <v>23</v>
      </c>
      <c r="E72" s="1">
        <v>-75628.800000000003</v>
      </c>
      <c r="F72" s="1" t="str">
        <f>_xlfn.XLOOKUP(B72,Mapping!A:A,Mapping!B:B)</f>
        <v>Salaries</v>
      </c>
      <c r="G72" s="1" t="str">
        <f>_xlfn.XLOOKUP(B72,Mapping!A:A,Mapping!C:C)</f>
        <v>Personnel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</row>
    <row r="73" spans="1:500">
      <c r="A73" s="3">
        <v>46112</v>
      </c>
      <c r="B73" s="1">
        <v>5100</v>
      </c>
      <c r="C73" s="1" t="s">
        <v>22</v>
      </c>
      <c r="D73" s="1" t="s">
        <v>23</v>
      </c>
      <c r="E73" s="1">
        <v>-17139.2</v>
      </c>
      <c r="F73" s="1" t="str">
        <f>_xlfn.XLOOKUP(B73,Mapping!A:A,Mapping!B:B)</f>
        <v>Employee Benefits</v>
      </c>
      <c r="G73" s="1" t="str">
        <f>_xlfn.XLOOKUP(B73,Mapping!A:A,Mapping!C:C)</f>
        <v>Personnel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</row>
    <row r="74" spans="1:500">
      <c r="A74" s="3">
        <v>46112</v>
      </c>
      <c r="B74" s="1">
        <v>6000</v>
      </c>
      <c r="C74" s="1" t="s">
        <v>22</v>
      </c>
      <c r="D74" s="1" t="s">
        <v>23</v>
      </c>
      <c r="E74" s="1">
        <v>-14976</v>
      </c>
      <c r="F74" s="1" t="str">
        <f>_xlfn.XLOOKUP(B74,Mapping!A:A,Mapping!B:B)</f>
        <v xml:space="preserve">Rent </v>
      </c>
      <c r="G74" s="1" t="str">
        <f>_xlfn.XLOOKUP(B74,Mapping!A:A,Mapping!C:C)</f>
        <v>Other OPEX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</row>
    <row r="75" spans="1:500">
      <c r="A75" s="3">
        <v>46112</v>
      </c>
      <c r="B75" s="1">
        <v>6100</v>
      </c>
      <c r="C75" s="1" t="s">
        <v>22</v>
      </c>
      <c r="D75" s="1" t="s">
        <v>23</v>
      </c>
      <c r="E75" s="1">
        <v>-12230.4</v>
      </c>
      <c r="F75" s="1" t="str">
        <f>_xlfn.XLOOKUP(B75,Mapping!A:A,Mapping!B:B)</f>
        <v>IT &amp; Software</v>
      </c>
      <c r="G75" s="1" t="str">
        <f>_xlfn.XLOOKUP(B75,Mapping!A:A,Mapping!C:C)</f>
        <v>Other OPEX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</row>
    <row r="76" spans="1:500">
      <c r="A76" s="3">
        <v>46112</v>
      </c>
      <c r="B76" s="1">
        <v>6200</v>
      </c>
      <c r="C76" s="1" t="s">
        <v>22</v>
      </c>
      <c r="D76" s="1" t="s">
        <v>23</v>
      </c>
      <c r="E76" s="1">
        <v>-9360</v>
      </c>
      <c r="F76" s="1" t="str">
        <f>_xlfn.XLOOKUP(B76,Mapping!A:A,Mapping!B:B)</f>
        <v>Marketing</v>
      </c>
      <c r="G76" s="1" t="str">
        <f>_xlfn.XLOOKUP(B76,Mapping!A:A,Mapping!C:C)</f>
        <v>Other OPEX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</row>
    <row r="77" spans="1:500">
      <c r="A77" s="3">
        <v>46112</v>
      </c>
      <c r="B77" s="1">
        <v>6300</v>
      </c>
      <c r="C77" s="1" t="s">
        <v>22</v>
      </c>
      <c r="D77" s="1" t="s">
        <v>23</v>
      </c>
      <c r="E77" s="1">
        <v>-5834.4</v>
      </c>
      <c r="F77" s="1" t="str">
        <f>_xlfn.XLOOKUP(B77,Mapping!A:A,Mapping!B:B)</f>
        <v>Travel</v>
      </c>
      <c r="G77" s="1" t="str">
        <f>_xlfn.XLOOKUP(B77,Mapping!A:A,Mapping!C:C)</f>
        <v>Other OPEX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</row>
    <row r="78" spans="1:500">
      <c r="A78" s="3">
        <v>46112</v>
      </c>
      <c r="B78" s="1">
        <v>6400</v>
      </c>
      <c r="C78" s="1" t="s">
        <v>22</v>
      </c>
      <c r="D78" s="1" t="s">
        <v>23</v>
      </c>
      <c r="E78" s="1">
        <v>-8652.7999999999993</v>
      </c>
      <c r="F78" s="1" t="str">
        <f>_xlfn.XLOOKUP(B78,Mapping!A:A,Mapping!B:B)</f>
        <v>Professional Services</v>
      </c>
      <c r="G78" s="1" t="str">
        <f>_xlfn.XLOOKUP(B78,Mapping!A:A,Mapping!C:C)</f>
        <v>Other OPEX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</row>
    <row r="79" spans="1:500">
      <c r="A79" s="3">
        <v>46112</v>
      </c>
      <c r="B79" s="1">
        <v>3000</v>
      </c>
      <c r="C79" s="1" t="s">
        <v>24</v>
      </c>
      <c r="D79" s="1" t="s">
        <v>25</v>
      </c>
      <c r="E79" s="1">
        <v>259080.64</v>
      </c>
      <c r="F79" s="1" t="str">
        <f>_xlfn.XLOOKUP(B79,Mapping!A:A,Mapping!B:B)</f>
        <v>Product Sales</v>
      </c>
      <c r="G79" s="1" t="str">
        <f>_xlfn.XLOOKUP(B79,Mapping!A:A,Mapping!C:C)</f>
        <v>Revenue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</row>
    <row r="80" spans="1:500">
      <c r="A80" s="3">
        <v>46112</v>
      </c>
      <c r="B80" s="1">
        <v>3100</v>
      </c>
      <c r="C80" s="1" t="s">
        <v>24</v>
      </c>
      <c r="D80" s="1" t="s">
        <v>25</v>
      </c>
      <c r="E80" s="1">
        <v>72488</v>
      </c>
      <c r="F80" s="1" t="str">
        <f>_xlfn.XLOOKUP(B80,Mapping!A:A,Mapping!B:B)</f>
        <v>Service Revenue</v>
      </c>
      <c r="G80" s="1" t="str">
        <f>_xlfn.XLOOKUP(B80,Mapping!A:A,Mapping!C:C)</f>
        <v>Revenue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</row>
    <row r="81" spans="1:500">
      <c r="A81" s="3">
        <v>46112</v>
      </c>
      <c r="B81" s="1">
        <v>4000</v>
      </c>
      <c r="C81" s="1" t="s">
        <v>24</v>
      </c>
      <c r="D81" s="1" t="s">
        <v>25</v>
      </c>
      <c r="E81" s="1">
        <v>-111341.57</v>
      </c>
      <c r="F81" s="1" t="str">
        <f>_xlfn.XLOOKUP(B81,Mapping!A:A,Mapping!B:B)</f>
        <v>Materials</v>
      </c>
      <c r="G81" s="1" t="str">
        <f>_xlfn.XLOOKUP(B81,Mapping!A:A,Mapping!C:C)</f>
        <v>COGS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</row>
    <row r="82" spans="1:500">
      <c r="A82" s="3">
        <v>46112</v>
      </c>
      <c r="B82" s="1">
        <v>4100</v>
      </c>
      <c r="C82" s="1" t="s">
        <v>24</v>
      </c>
      <c r="D82" s="1" t="s">
        <v>25</v>
      </c>
      <c r="E82" s="1">
        <v>-23946.62</v>
      </c>
      <c r="F82" s="1" t="str">
        <f>_xlfn.XLOOKUP(B82,Mapping!A:A,Mapping!B:B)</f>
        <v>Freight &amp; Logistics</v>
      </c>
      <c r="G82" s="1" t="str">
        <f>_xlfn.XLOOKUP(B82,Mapping!A:A,Mapping!C:C)</f>
        <v>COGS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</row>
    <row r="83" spans="1:500">
      <c r="A83" s="3">
        <v>46112</v>
      </c>
      <c r="B83" s="1">
        <v>5000</v>
      </c>
      <c r="C83" s="1" t="s">
        <v>24</v>
      </c>
      <c r="D83" s="1" t="s">
        <v>25</v>
      </c>
      <c r="E83" s="1">
        <v>-59559.55</v>
      </c>
      <c r="F83" s="1" t="str">
        <f>_xlfn.XLOOKUP(B83,Mapping!A:A,Mapping!B:B)</f>
        <v>Salaries</v>
      </c>
      <c r="G83" s="1" t="str">
        <f>_xlfn.XLOOKUP(B83,Mapping!A:A,Mapping!C:C)</f>
        <v>Personnel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</row>
    <row r="84" spans="1:500">
      <c r="A84" s="3">
        <v>46112</v>
      </c>
      <c r="B84" s="1">
        <v>5100</v>
      </c>
      <c r="C84" s="1" t="s">
        <v>24</v>
      </c>
      <c r="D84" s="1" t="s">
        <v>25</v>
      </c>
      <c r="E84" s="1">
        <v>-13508.35</v>
      </c>
      <c r="F84" s="1" t="str">
        <f>_xlfn.XLOOKUP(B84,Mapping!A:A,Mapping!B:B)</f>
        <v>Employee Benefits</v>
      </c>
      <c r="G84" s="1" t="str">
        <f>_xlfn.XLOOKUP(B84,Mapping!A:A,Mapping!C:C)</f>
        <v>Personnel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</row>
    <row r="85" spans="1:500">
      <c r="A85" s="3">
        <v>46112</v>
      </c>
      <c r="B85" s="1">
        <v>6000</v>
      </c>
      <c r="C85" s="1" t="s">
        <v>24</v>
      </c>
      <c r="D85" s="1" t="s">
        <v>25</v>
      </c>
      <c r="E85" s="1">
        <v>-12919.92</v>
      </c>
      <c r="F85" s="1" t="str">
        <f>_xlfn.XLOOKUP(B85,Mapping!A:A,Mapping!B:B)</f>
        <v xml:space="preserve">Rent </v>
      </c>
      <c r="G85" s="1" t="str">
        <f>_xlfn.XLOOKUP(B85,Mapping!A:A,Mapping!C:C)</f>
        <v>Other OPEX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</row>
    <row r="86" spans="1:500">
      <c r="A86" s="3">
        <v>46112</v>
      </c>
      <c r="B86" s="1">
        <v>6100</v>
      </c>
      <c r="C86" s="1" t="s">
        <v>24</v>
      </c>
      <c r="D86" s="1" t="s">
        <v>25</v>
      </c>
      <c r="E86" s="1">
        <v>-10540.61</v>
      </c>
      <c r="F86" s="1" t="str">
        <f>_xlfn.XLOOKUP(B86,Mapping!A:A,Mapping!B:B)</f>
        <v>IT &amp; Software</v>
      </c>
      <c r="G86" s="1" t="str">
        <f>_xlfn.XLOOKUP(B86,Mapping!A:A,Mapping!C:C)</f>
        <v>Other OPEX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</row>
    <row r="87" spans="1:500">
      <c r="A87" s="3">
        <v>46112</v>
      </c>
      <c r="B87" s="1">
        <v>6200</v>
      </c>
      <c r="C87" s="1" t="s">
        <v>24</v>
      </c>
      <c r="D87" s="1" t="s">
        <v>25</v>
      </c>
      <c r="E87" s="1">
        <v>-7368.19</v>
      </c>
      <c r="F87" s="1" t="str">
        <f>_xlfn.XLOOKUP(B87,Mapping!A:A,Mapping!B:B)</f>
        <v>Marketing</v>
      </c>
      <c r="G87" s="1" t="str">
        <f>_xlfn.XLOOKUP(B87,Mapping!A:A,Mapping!C:C)</f>
        <v>Other OPEX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</row>
    <row r="88" spans="1:500">
      <c r="A88" s="3">
        <v>46112</v>
      </c>
      <c r="B88" s="1">
        <v>6300</v>
      </c>
      <c r="C88" s="1" t="s">
        <v>24</v>
      </c>
      <c r="D88" s="1" t="s">
        <v>25</v>
      </c>
      <c r="E88" s="1">
        <v>-4596.59</v>
      </c>
      <c r="F88" s="1" t="str">
        <f>_xlfn.XLOOKUP(B88,Mapping!A:A,Mapping!B:B)</f>
        <v>Travel</v>
      </c>
      <c r="G88" s="1" t="str">
        <f>_xlfn.XLOOKUP(B88,Mapping!A:A,Mapping!C:C)</f>
        <v>Other OPEX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</row>
    <row r="89" spans="1:500">
      <c r="A89" s="3">
        <v>46112</v>
      </c>
      <c r="B89" s="1">
        <v>6400</v>
      </c>
      <c r="C89" s="1" t="s">
        <v>24</v>
      </c>
      <c r="D89" s="1" t="s">
        <v>25</v>
      </c>
      <c r="E89" s="1">
        <v>-6822.4</v>
      </c>
      <c r="F89" s="1" t="str">
        <f>_xlfn.XLOOKUP(B89,Mapping!A:A,Mapping!B:B)</f>
        <v>Professional Services</v>
      </c>
      <c r="G89" s="1" t="str">
        <f>_xlfn.XLOOKUP(B89,Mapping!A:A,Mapping!C:C)</f>
        <v>Other OPEX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</row>
    <row r="90" spans="1:500">
      <c r="A90" s="3">
        <v>46112</v>
      </c>
      <c r="B90" s="1">
        <v>3000</v>
      </c>
      <c r="C90" s="1" t="s">
        <v>26</v>
      </c>
      <c r="D90" s="1" t="s">
        <v>27</v>
      </c>
      <c r="E90" s="1">
        <v>192601.76</v>
      </c>
      <c r="F90" s="1" t="str">
        <f>_xlfn.XLOOKUP(B90,Mapping!A:A,Mapping!B:B)</f>
        <v>Product Sales</v>
      </c>
      <c r="G90" s="1" t="str">
        <f>_xlfn.XLOOKUP(B90,Mapping!A:A,Mapping!C:C)</f>
        <v>Revenue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</row>
    <row r="91" spans="1:500">
      <c r="A91" s="3">
        <v>46112</v>
      </c>
      <c r="B91" s="1">
        <v>3100</v>
      </c>
      <c r="C91" s="1" t="s">
        <v>26</v>
      </c>
      <c r="D91" s="1" t="s">
        <v>27</v>
      </c>
      <c r="E91" s="1">
        <v>49221.120000000003</v>
      </c>
      <c r="F91" s="1" t="str">
        <f>_xlfn.XLOOKUP(B91,Mapping!A:A,Mapping!B:B)</f>
        <v>Service Revenue</v>
      </c>
      <c r="G91" s="1" t="str">
        <f>_xlfn.XLOOKUP(B91,Mapping!A:A,Mapping!C:C)</f>
        <v>Revenue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</row>
    <row r="92" spans="1:500">
      <c r="A92" s="3">
        <v>46112</v>
      </c>
      <c r="B92" s="1">
        <v>4000</v>
      </c>
      <c r="C92" s="1" t="s">
        <v>26</v>
      </c>
      <c r="D92" s="1" t="s">
        <v>27</v>
      </c>
      <c r="E92" s="1">
        <v>-75665.41</v>
      </c>
      <c r="F92" s="1" t="str">
        <f>_xlfn.XLOOKUP(B92,Mapping!A:A,Mapping!B:B)</f>
        <v>Materials</v>
      </c>
      <c r="G92" s="1" t="str">
        <f>_xlfn.XLOOKUP(B92,Mapping!A:A,Mapping!C:C)</f>
        <v>COGS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</row>
    <row r="93" spans="1:500">
      <c r="A93" s="3">
        <v>46112</v>
      </c>
      <c r="B93" s="1">
        <v>4100</v>
      </c>
      <c r="C93" s="1" t="s">
        <v>26</v>
      </c>
      <c r="D93" s="1" t="s">
        <v>27</v>
      </c>
      <c r="E93" s="1">
        <v>-16286.4</v>
      </c>
      <c r="F93" s="1" t="str">
        <f>_xlfn.XLOOKUP(B93,Mapping!A:A,Mapping!B:B)</f>
        <v>Freight &amp; Logistics</v>
      </c>
      <c r="G93" s="1" t="str">
        <f>_xlfn.XLOOKUP(B93,Mapping!A:A,Mapping!C:C)</f>
        <v>COGS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</row>
    <row r="94" spans="1:500">
      <c r="A94" s="3">
        <v>46112</v>
      </c>
      <c r="B94" s="1">
        <v>5000</v>
      </c>
      <c r="C94" s="1" t="s">
        <v>26</v>
      </c>
      <c r="D94" s="1" t="s">
        <v>27</v>
      </c>
      <c r="E94" s="1">
        <v>-44299.01</v>
      </c>
      <c r="F94" s="1" t="str">
        <f>_xlfn.XLOOKUP(B94,Mapping!A:A,Mapping!B:B)</f>
        <v>Salaries</v>
      </c>
      <c r="G94" s="1" t="str">
        <f>_xlfn.XLOOKUP(B94,Mapping!A:A,Mapping!C:C)</f>
        <v>Personnel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</row>
    <row r="95" spans="1:500">
      <c r="A95" s="3">
        <v>46112</v>
      </c>
      <c r="B95" s="1">
        <v>5100</v>
      </c>
      <c r="C95" s="1" t="s">
        <v>26</v>
      </c>
      <c r="D95" s="1" t="s">
        <v>27</v>
      </c>
      <c r="E95" s="1">
        <v>-10037.25</v>
      </c>
      <c r="F95" s="1" t="str">
        <f>_xlfn.XLOOKUP(B95,Mapping!A:A,Mapping!B:B)</f>
        <v>Employee Benefits</v>
      </c>
      <c r="G95" s="1" t="str">
        <f>_xlfn.XLOOKUP(B95,Mapping!A:A,Mapping!C:C)</f>
        <v>Personnel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</row>
    <row r="96" spans="1:500">
      <c r="A96" s="3">
        <v>46112</v>
      </c>
      <c r="B96" s="1">
        <v>6000</v>
      </c>
      <c r="C96" s="1" t="s">
        <v>26</v>
      </c>
      <c r="D96" s="1" t="s">
        <v>27</v>
      </c>
      <c r="E96" s="1">
        <v>-8776.56</v>
      </c>
      <c r="F96" s="1" t="str">
        <f>_xlfn.XLOOKUP(B96,Mapping!A:A,Mapping!B:B)</f>
        <v xml:space="preserve">Rent </v>
      </c>
      <c r="G96" s="1" t="str">
        <f>_xlfn.XLOOKUP(B96,Mapping!A:A,Mapping!C:C)</f>
        <v>Other OPEX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</row>
    <row r="97" spans="1:500">
      <c r="A97" s="3">
        <v>46112</v>
      </c>
      <c r="B97" s="1">
        <v>6100</v>
      </c>
      <c r="C97" s="1" t="s">
        <v>26</v>
      </c>
      <c r="D97" s="1" t="s">
        <v>27</v>
      </c>
      <c r="E97" s="1">
        <v>-7166.02</v>
      </c>
      <c r="F97" s="1" t="str">
        <f>_xlfn.XLOOKUP(B97,Mapping!A:A,Mapping!B:B)</f>
        <v>IT &amp; Software</v>
      </c>
      <c r="G97" s="1" t="str">
        <f>_xlfn.XLOOKUP(B97,Mapping!A:A,Mapping!C:C)</f>
        <v>Other OPEX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</row>
    <row r="98" spans="1:500">
      <c r="A98" s="3">
        <v>46112</v>
      </c>
      <c r="B98" s="1">
        <v>6200</v>
      </c>
      <c r="C98" s="1" t="s">
        <v>26</v>
      </c>
      <c r="D98" s="1" t="s">
        <v>27</v>
      </c>
      <c r="E98" s="1">
        <v>-5483.09</v>
      </c>
      <c r="F98" s="1" t="str">
        <f>_xlfn.XLOOKUP(B98,Mapping!A:A,Mapping!B:B)</f>
        <v>Marketing</v>
      </c>
      <c r="G98" s="1" t="str">
        <f>_xlfn.XLOOKUP(B98,Mapping!A:A,Mapping!C:C)</f>
        <v>Other OPEX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</row>
    <row r="99" spans="1:500">
      <c r="A99" s="3">
        <v>46112</v>
      </c>
      <c r="B99" s="1">
        <v>6300</v>
      </c>
      <c r="C99" s="1" t="s">
        <v>26</v>
      </c>
      <c r="D99" s="1" t="s">
        <v>27</v>
      </c>
      <c r="E99" s="1">
        <v>-3417.13</v>
      </c>
      <c r="F99" s="1" t="str">
        <f>_xlfn.XLOOKUP(B99,Mapping!A:A,Mapping!B:B)</f>
        <v>Travel</v>
      </c>
      <c r="G99" s="1" t="str">
        <f>_xlfn.XLOOKUP(B99,Mapping!A:A,Mapping!C:C)</f>
        <v>Other OPEX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</row>
    <row r="100" spans="1:500">
      <c r="A100" s="3">
        <v>46112</v>
      </c>
      <c r="B100" s="1">
        <v>6400</v>
      </c>
      <c r="C100" s="1" t="s">
        <v>26</v>
      </c>
      <c r="D100" s="1" t="s">
        <v>27</v>
      </c>
      <c r="E100" s="1">
        <v>-4632.58</v>
      </c>
      <c r="F100" s="1" t="str">
        <f>_xlfn.XLOOKUP(B100,Mapping!A:A,Mapping!B:B)</f>
        <v>Professional Services</v>
      </c>
      <c r="G100" s="1" t="str">
        <f>_xlfn.XLOOKUP(B100,Mapping!A:A,Mapping!C:C)</f>
        <v>Other OPEX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</row>
    <row r="101" spans="1:500">
      <c r="A101" s="3">
        <v>46142</v>
      </c>
      <c r="B101" s="1">
        <v>3000</v>
      </c>
      <c r="C101" s="1" t="s">
        <v>22</v>
      </c>
      <c r="D101" s="1" t="s">
        <v>23</v>
      </c>
      <c r="E101" s="1">
        <v>315456</v>
      </c>
      <c r="F101" s="1" t="str">
        <f>_xlfn.XLOOKUP(B101,Mapping!A:A,Mapping!B:B)</f>
        <v>Product Sales</v>
      </c>
      <c r="G101" s="1" t="str">
        <f>_xlfn.XLOOKUP(B101,Mapping!A:A,Mapping!C:C)</f>
        <v>Revenue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</row>
    <row r="102" spans="1:500">
      <c r="A102" s="3">
        <v>46142</v>
      </c>
      <c r="B102" s="1">
        <v>3100</v>
      </c>
      <c r="C102" s="1" t="s">
        <v>22</v>
      </c>
      <c r="D102" s="1" t="s">
        <v>23</v>
      </c>
      <c r="E102" s="1">
        <v>88298</v>
      </c>
      <c r="F102" s="1" t="str">
        <f>_xlfn.XLOOKUP(B102,Mapping!A:A,Mapping!B:B)</f>
        <v>Service Revenue</v>
      </c>
      <c r="G102" s="1" t="str">
        <f>_xlfn.XLOOKUP(B102,Mapping!A:A,Mapping!C:C)</f>
        <v>Revenue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</row>
    <row r="103" spans="1:500">
      <c r="A103" s="3">
        <v>46142</v>
      </c>
      <c r="B103" s="1">
        <v>4000</v>
      </c>
      <c r="C103" s="1" t="s">
        <v>22</v>
      </c>
      <c r="D103" s="1" t="s">
        <v>23</v>
      </c>
      <c r="E103" s="1">
        <v>-135680</v>
      </c>
      <c r="F103" s="1" t="str">
        <f>_xlfn.XLOOKUP(B103,Mapping!A:A,Mapping!B:B)</f>
        <v>Materials</v>
      </c>
      <c r="G103" s="1" t="str">
        <f>_xlfn.XLOOKUP(B103,Mapping!A:A,Mapping!C:C)</f>
        <v>COGS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</row>
    <row r="104" spans="1:500">
      <c r="A104" s="3">
        <v>46142</v>
      </c>
      <c r="B104" s="1">
        <v>4100</v>
      </c>
      <c r="C104" s="1" t="s">
        <v>22</v>
      </c>
      <c r="D104" s="1" t="s">
        <v>23</v>
      </c>
      <c r="E104" s="1">
        <v>-29192.400000000001</v>
      </c>
      <c r="F104" s="1" t="str">
        <f>_xlfn.XLOOKUP(B104,Mapping!A:A,Mapping!B:B)</f>
        <v>Freight &amp; Logistics</v>
      </c>
      <c r="G104" s="1" t="str">
        <f>_xlfn.XLOOKUP(B104,Mapping!A:A,Mapping!C:C)</f>
        <v>COGS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</row>
    <row r="105" spans="1:500">
      <c r="A105" s="3">
        <v>46142</v>
      </c>
      <c r="B105" s="1">
        <v>5000</v>
      </c>
      <c r="C105" s="1" t="s">
        <v>22</v>
      </c>
      <c r="D105" s="1" t="s">
        <v>23</v>
      </c>
      <c r="E105" s="1">
        <v>-79372.800000000003</v>
      </c>
      <c r="F105" s="1" t="str">
        <f>_xlfn.XLOOKUP(B105,Mapping!A:A,Mapping!B:B)</f>
        <v>Salaries</v>
      </c>
      <c r="G105" s="1" t="str">
        <f>_xlfn.XLOOKUP(B105,Mapping!A:A,Mapping!C:C)</f>
        <v>Personnel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</row>
    <row r="106" spans="1:500">
      <c r="A106" s="3">
        <v>46142</v>
      </c>
      <c r="B106" s="1">
        <v>5100</v>
      </c>
      <c r="C106" s="1" t="s">
        <v>22</v>
      </c>
      <c r="D106" s="1" t="s">
        <v>23</v>
      </c>
      <c r="E106" s="1">
        <v>-16451.2</v>
      </c>
      <c r="F106" s="1" t="str">
        <f>_xlfn.XLOOKUP(B106,Mapping!A:A,Mapping!B:B)</f>
        <v>Employee Benefits</v>
      </c>
      <c r="G106" s="1" t="str">
        <f>_xlfn.XLOOKUP(B106,Mapping!A:A,Mapping!C:C)</f>
        <v>Personnel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</row>
    <row r="107" spans="1:500">
      <c r="A107" s="3">
        <v>46142</v>
      </c>
      <c r="B107" s="1">
        <v>6000</v>
      </c>
      <c r="C107" s="1" t="s">
        <v>22</v>
      </c>
      <c r="D107" s="1" t="s">
        <v>23</v>
      </c>
      <c r="E107" s="1">
        <v>-15741</v>
      </c>
      <c r="F107" s="1" t="str">
        <f>_xlfn.XLOOKUP(B107,Mapping!A:A,Mapping!B:B)</f>
        <v xml:space="preserve">Rent </v>
      </c>
      <c r="G107" s="1" t="str">
        <f>_xlfn.XLOOKUP(B107,Mapping!A:A,Mapping!C:C)</f>
        <v>Other OPEX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</row>
    <row r="108" spans="1:500">
      <c r="A108" s="3">
        <v>46142</v>
      </c>
      <c r="B108" s="1">
        <v>6100</v>
      </c>
      <c r="C108" s="1" t="s">
        <v>22</v>
      </c>
      <c r="D108" s="1" t="s">
        <v>23</v>
      </c>
      <c r="E108" s="1">
        <v>-12847.2</v>
      </c>
      <c r="F108" s="1" t="str">
        <f>_xlfn.XLOOKUP(B108,Mapping!A:A,Mapping!B:B)</f>
        <v>IT &amp; Software</v>
      </c>
      <c r="G108" s="1" t="str">
        <f>_xlfn.XLOOKUP(B108,Mapping!A:A,Mapping!C:C)</f>
        <v>Other OPEX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</row>
    <row r="109" spans="1:500">
      <c r="A109" s="3">
        <v>46142</v>
      </c>
      <c r="B109" s="1">
        <v>6200</v>
      </c>
      <c r="C109" s="1" t="s">
        <v>22</v>
      </c>
      <c r="D109" s="1" t="s">
        <v>23</v>
      </c>
      <c r="E109" s="1">
        <v>-9826.2000000000007</v>
      </c>
      <c r="F109" s="1" t="str">
        <f>_xlfn.XLOOKUP(B109,Mapping!A:A,Mapping!B:B)</f>
        <v>Marketing</v>
      </c>
      <c r="G109" s="1" t="str">
        <f>_xlfn.XLOOKUP(B109,Mapping!A:A,Mapping!C:C)</f>
        <v>Other OPEX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</row>
    <row r="110" spans="1:500">
      <c r="A110" s="3">
        <v>46142</v>
      </c>
      <c r="B110" s="1">
        <v>6300</v>
      </c>
      <c r="C110" s="1" t="s">
        <v>22</v>
      </c>
      <c r="D110" s="1" t="s">
        <v>23</v>
      </c>
      <c r="E110" s="1">
        <v>-5596.8</v>
      </c>
      <c r="F110" s="1" t="str">
        <f>_xlfn.XLOOKUP(B110,Mapping!A:A,Mapping!B:B)</f>
        <v>Travel</v>
      </c>
      <c r="G110" s="1" t="str">
        <f>_xlfn.XLOOKUP(B110,Mapping!A:A,Mapping!C:C)</f>
        <v>Other OPEX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</row>
    <row r="111" spans="1:500">
      <c r="A111" s="3">
        <v>46142</v>
      </c>
      <c r="B111" s="1">
        <v>6400</v>
      </c>
      <c r="C111" s="1" t="s">
        <v>22</v>
      </c>
      <c r="D111" s="1" t="s">
        <v>23</v>
      </c>
      <c r="E111" s="1">
        <v>-8310.4</v>
      </c>
      <c r="F111" s="1" t="str">
        <f>_xlfn.XLOOKUP(B111,Mapping!A:A,Mapping!B:B)</f>
        <v>Professional Services</v>
      </c>
      <c r="G111" s="1" t="str">
        <f>_xlfn.XLOOKUP(B111,Mapping!A:A,Mapping!C:C)</f>
        <v>Other OPEX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</row>
    <row r="112" spans="1:500">
      <c r="A112" s="3">
        <v>46142</v>
      </c>
      <c r="B112" s="1">
        <v>3000</v>
      </c>
      <c r="C112" s="1" t="s">
        <v>24</v>
      </c>
      <c r="D112" s="1" t="s">
        <v>25</v>
      </c>
      <c r="E112" s="1">
        <v>272146.52</v>
      </c>
      <c r="F112" s="1" t="str">
        <f>_xlfn.XLOOKUP(B112,Mapping!A:A,Mapping!B:B)</f>
        <v>Product Sales</v>
      </c>
      <c r="G112" s="1" t="str">
        <f>_xlfn.XLOOKUP(B112,Mapping!A:A,Mapping!C:C)</f>
        <v>Revenue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</row>
    <row r="113" spans="1:500">
      <c r="A113" s="3">
        <v>46142</v>
      </c>
      <c r="B113" s="1">
        <v>3100</v>
      </c>
      <c r="C113" s="1" t="s">
        <v>24</v>
      </c>
      <c r="D113" s="1" t="s">
        <v>25</v>
      </c>
      <c r="E113" s="1">
        <v>76098.460000000006</v>
      </c>
      <c r="F113" s="1" t="str">
        <f>_xlfn.XLOOKUP(B113,Mapping!A:A,Mapping!B:B)</f>
        <v>Service Revenue</v>
      </c>
      <c r="G113" s="1" t="str">
        <f>_xlfn.XLOOKUP(B113,Mapping!A:A,Mapping!C:C)</f>
        <v>Revenue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</row>
    <row r="114" spans="1:500">
      <c r="A114" s="3">
        <v>46142</v>
      </c>
      <c r="B114" s="1">
        <v>4000</v>
      </c>
      <c r="C114" s="1" t="s">
        <v>24</v>
      </c>
      <c r="D114" s="1" t="s">
        <v>25</v>
      </c>
      <c r="E114" s="1">
        <v>-106807.3</v>
      </c>
      <c r="F114" s="1" t="str">
        <f>_xlfn.XLOOKUP(B114,Mapping!A:A,Mapping!B:B)</f>
        <v>Materials</v>
      </c>
      <c r="G114" s="1" t="str">
        <f>_xlfn.XLOOKUP(B114,Mapping!A:A,Mapping!C:C)</f>
        <v>COGS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</row>
    <row r="115" spans="1:500">
      <c r="A115" s="3">
        <v>46142</v>
      </c>
      <c r="B115" s="1">
        <v>4100</v>
      </c>
      <c r="C115" s="1" t="s">
        <v>24</v>
      </c>
      <c r="D115" s="1" t="s">
        <v>25</v>
      </c>
      <c r="E115" s="1">
        <v>-22999.03</v>
      </c>
      <c r="F115" s="1" t="str">
        <f>_xlfn.XLOOKUP(B115,Mapping!A:A,Mapping!B:B)</f>
        <v>Freight &amp; Logistics</v>
      </c>
      <c r="G115" s="1" t="str">
        <f>_xlfn.XLOOKUP(B115,Mapping!A:A,Mapping!C:C)</f>
        <v>COGS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</row>
    <row r="116" spans="1:500">
      <c r="A116" s="3">
        <v>46142</v>
      </c>
      <c r="B116" s="1">
        <v>5000</v>
      </c>
      <c r="C116" s="1" t="s">
        <v>24</v>
      </c>
      <c r="D116" s="1" t="s">
        <v>25</v>
      </c>
      <c r="E116" s="1">
        <v>-62582.400000000001</v>
      </c>
      <c r="F116" s="1" t="str">
        <f>_xlfn.XLOOKUP(B116,Mapping!A:A,Mapping!B:B)</f>
        <v>Salaries</v>
      </c>
      <c r="G116" s="1" t="str">
        <f>_xlfn.XLOOKUP(B116,Mapping!A:A,Mapping!C:C)</f>
        <v>Personnel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</row>
    <row r="117" spans="1:500">
      <c r="A117" s="3">
        <v>46142</v>
      </c>
      <c r="B117" s="1">
        <v>5100</v>
      </c>
      <c r="C117" s="1" t="s">
        <v>24</v>
      </c>
      <c r="D117" s="1" t="s">
        <v>25</v>
      </c>
      <c r="E117" s="1">
        <v>-14185.34</v>
      </c>
      <c r="F117" s="1" t="str">
        <f>_xlfn.XLOOKUP(B117,Mapping!A:A,Mapping!B:B)</f>
        <v>Employee Benefits</v>
      </c>
      <c r="G117" s="1" t="str">
        <f>_xlfn.XLOOKUP(B117,Mapping!A:A,Mapping!C:C)</f>
        <v>Personnel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</row>
    <row r="118" spans="1:500">
      <c r="A118" s="3">
        <v>46142</v>
      </c>
      <c r="B118" s="1">
        <v>6000</v>
      </c>
      <c r="C118" s="1" t="s">
        <v>24</v>
      </c>
      <c r="D118" s="1" t="s">
        <v>25</v>
      </c>
      <c r="E118" s="1">
        <v>-13559.52</v>
      </c>
      <c r="F118" s="1" t="str">
        <f>_xlfn.XLOOKUP(B118,Mapping!A:A,Mapping!B:B)</f>
        <v xml:space="preserve">Rent </v>
      </c>
      <c r="G118" s="1" t="str">
        <f>_xlfn.XLOOKUP(B118,Mapping!A:A,Mapping!C:C)</f>
        <v>Other OPEX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</row>
    <row r="119" spans="1:500">
      <c r="A119" s="3">
        <v>46142</v>
      </c>
      <c r="B119" s="1">
        <v>6100</v>
      </c>
      <c r="C119" s="1" t="s">
        <v>24</v>
      </c>
      <c r="D119" s="1" t="s">
        <v>25</v>
      </c>
      <c r="E119" s="1">
        <v>-10117.49</v>
      </c>
      <c r="F119" s="1" t="str">
        <f>_xlfn.XLOOKUP(B119,Mapping!A:A,Mapping!B:B)</f>
        <v>IT &amp; Software</v>
      </c>
      <c r="G119" s="1" t="str">
        <f>_xlfn.XLOOKUP(B119,Mapping!A:A,Mapping!C:C)</f>
        <v>Other OPEX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</row>
    <row r="120" spans="1:500">
      <c r="A120" s="3">
        <v>46142</v>
      </c>
      <c r="B120" s="1">
        <v>6200</v>
      </c>
      <c r="C120" s="1" t="s">
        <v>24</v>
      </c>
      <c r="D120" s="1" t="s">
        <v>25</v>
      </c>
      <c r="E120" s="1">
        <v>-7744.57</v>
      </c>
      <c r="F120" s="1" t="str">
        <f>_xlfn.XLOOKUP(B120,Mapping!A:A,Mapping!B:B)</f>
        <v>Marketing</v>
      </c>
      <c r="G120" s="1" t="str">
        <f>_xlfn.XLOOKUP(B120,Mapping!A:A,Mapping!C:C)</f>
        <v>Other OPEX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</row>
    <row r="121" spans="1:500">
      <c r="A121" s="3">
        <v>46142</v>
      </c>
      <c r="B121" s="1">
        <v>6300</v>
      </c>
      <c r="C121" s="1" t="s">
        <v>24</v>
      </c>
      <c r="D121" s="1" t="s">
        <v>25</v>
      </c>
      <c r="E121" s="1">
        <v>-4828.41</v>
      </c>
      <c r="F121" s="1" t="str">
        <f>_xlfn.XLOOKUP(B121,Mapping!A:A,Mapping!B:B)</f>
        <v>Travel</v>
      </c>
      <c r="G121" s="1" t="str">
        <f>_xlfn.XLOOKUP(B121,Mapping!A:A,Mapping!C:C)</f>
        <v>Other OPEX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</row>
    <row r="122" spans="1:500">
      <c r="A122" s="3">
        <v>46142</v>
      </c>
      <c r="B122" s="1">
        <v>6400</v>
      </c>
      <c r="C122" s="1" t="s">
        <v>24</v>
      </c>
      <c r="D122" s="1" t="s">
        <v>25</v>
      </c>
      <c r="E122" s="1">
        <v>-7162.21</v>
      </c>
      <c r="F122" s="1" t="str">
        <f>_xlfn.XLOOKUP(B122,Mapping!A:A,Mapping!B:B)</f>
        <v>Professional Services</v>
      </c>
      <c r="G122" s="1" t="str">
        <f>_xlfn.XLOOKUP(B122,Mapping!A:A,Mapping!C:C)</f>
        <v>Other OPEX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</row>
    <row r="123" spans="1:500">
      <c r="A123" s="3">
        <v>46142</v>
      </c>
      <c r="B123" s="1">
        <v>3000</v>
      </c>
      <c r="C123" s="1" t="s">
        <v>26</v>
      </c>
      <c r="D123" s="1" t="s">
        <v>27</v>
      </c>
      <c r="E123" s="1">
        <v>184870.36</v>
      </c>
      <c r="F123" s="1" t="str">
        <f>_xlfn.XLOOKUP(B123,Mapping!A:A,Mapping!B:B)</f>
        <v>Product Sales</v>
      </c>
      <c r="G123" s="1" t="str">
        <f>_xlfn.XLOOKUP(B123,Mapping!A:A,Mapping!C:C)</f>
        <v>Revenue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</row>
    <row r="124" spans="1:500">
      <c r="A124" s="3">
        <v>46142</v>
      </c>
      <c r="B124" s="1">
        <v>3100</v>
      </c>
      <c r="C124" s="1" t="s">
        <v>26</v>
      </c>
      <c r="D124" s="1" t="s">
        <v>27</v>
      </c>
      <c r="E124" s="1">
        <v>51735.42</v>
      </c>
      <c r="F124" s="1" t="str">
        <f>_xlfn.XLOOKUP(B124,Mapping!A:A,Mapping!B:B)</f>
        <v>Service Revenue</v>
      </c>
      <c r="G124" s="1" t="str">
        <f>_xlfn.XLOOKUP(B124,Mapping!A:A,Mapping!C:C)</f>
        <v>Revenue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</row>
    <row r="125" spans="1:500">
      <c r="A125" s="3">
        <v>46142</v>
      </c>
      <c r="B125" s="1">
        <v>4000</v>
      </c>
      <c r="C125" s="1" t="s">
        <v>26</v>
      </c>
      <c r="D125" s="1" t="s">
        <v>27</v>
      </c>
      <c r="E125" s="1">
        <v>-79481.34</v>
      </c>
      <c r="F125" s="1" t="str">
        <f>_xlfn.XLOOKUP(B125,Mapping!A:A,Mapping!B:B)</f>
        <v>Materials</v>
      </c>
      <c r="G125" s="1" t="str">
        <f>_xlfn.XLOOKUP(B125,Mapping!A:A,Mapping!C:C)</f>
        <v>COGS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</row>
    <row r="126" spans="1:500">
      <c r="A126" s="3">
        <v>46142</v>
      </c>
      <c r="B126" s="1">
        <v>4100</v>
      </c>
      <c r="C126" s="1" t="s">
        <v>26</v>
      </c>
      <c r="D126" s="1" t="s">
        <v>27</v>
      </c>
      <c r="E126" s="1">
        <v>-17097.59</v>
      </c>
      <c r="F126" s="1" t="str">
        <f>_xlfn.XLOOKUP(B126,Mapping!A:A,Mapping!B:B)</f>
        <v>Freight &amp; Logistics</v>
      </c>
      <c r="G126" s="1" t="str">
        <f>_xlfn.XLOOKUP(B126,Mapping!A:A,Mapping!C:C)</f>
        <v>COGS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</row>
    <row r="127" spans="1:500">
      <c r="A127" s="3">
        <v>46142</v>
      </c>
      <c r="B127" s="1">
        <v>5000</v>
      </c>
      <c r="C127" s="1" t="s">
        <v>26</v>
      </c>
      <c r="D127" s="1" t="s">
        <v>27</v>
      </c>
      <c r="E127" s="1">
        <v>-42494.98</v>
      </c>
      <c r="F127" s="1" t="str">
        <f>_xlfn.XLOOKUP(B127,Mapping!A:A,Mapping!B:B)</f>
        <v>Salaries</v>
      </c>
      <c r="G127" s="1" t="str">
        <f>_xlfn.XLOOKUP(B127,Mapping!A:A,Mapping!C:C)</f>
        <v>Personnel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</row>
    <row r="128" spans="1:500">
      <c r="A128" s="3">
        <v>46142</v>
      </c>
      <c r="B128" s="1">
        <v>5100</v>
      </c>
      <c r="C128" s="1" t="s">
        <v>26</v>
      </c>
      <c r="D128" s="1" t="s">
        <v>27</v>
      </c>
      <c r="E128" s="1">
        <v>-9640.06</v>
      </c>
      <c r="F128" s="1" t="str">
        <f>_xlfn.XLOOKUP(B128,Mapping!A:A,Mapping!B:B)</f>
        <v>Employee Benefits</v>
      </c>
      <c r="G128" s="1" t="str">
        <f>_xlfn.XLOOKUP(B128,Mapping!A:A,Mapping!C:C)</f>
        <v>Personnel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</row>
    <row r="129" spans="1:500">
      <c r="A129" s="3">
        <v>46142</v>
      </c>
      <c r="B129" s="1">
        <v>6000</v>
      </c>
      <c r="C129" s="1" t="s">
        <v>26</v>
      </c>
      <c r="D129" s="1" t="s">
        <v>27</v>
      </c>
      <c r="E129" s="1">
        <v>-9222</v>
      </c>
      <c r="F129" s="1" t="str">
        <f>_xlfn.XLOOKUP(B129,Mapping!A:A,Mapping!B:B)</f>
        <v xml:space="preserve">Rent </v>
      </c>
      <c r="G129" s="1" t="str">
        <f>_xlfn.XLOOKUP(B129,Mapping!A:A,Mapping!C:C)</f>
        <v>Other OPEX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</row>
    <row r="130" spans="1:500">
      <c r="A130" s="3">
        <v>46142</v>
      </c>
      <c r="B130" s="1">
        <v>6100</v>
      </c>
      <c r="C130" s="1" t="s">
        <v>26</v>
      </c>
      <c r="D130" s="1" t="s">
        <v>27</v>
      </c>
      <c r="E130" s="1">
        <v>-7525.15</v>
      </c>
      <c r="F130" s="1" t="str">
        <f>_xlfn.XLOOKUP(B130,Mapping!A:A,Mapping!B:B)</f>
        <v>IT &amp; Software</v>
      </c>
      <c r="G130" s="1" t="str">
        <f>_xlfn.XLOOKUP(B130,Mapping!A:A,Mapping!C:C)</f>
        <v>Other OPEX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</row>
    <row r="131" spans="1:500">
      <c r="A131" s="3">
        <v>46142</v>
      </c>
      <c r="B131" s="1">
        <v>6200</v>
      </c>
      <c r="C131" s="1" t="s">
        <v>26</v>
      </c>
      <c r="D131" s="1" t="s">
        <v>27</v>
      </c>
      <c r="E131" s="1">
        <v>-5754.53</v>
      </c>
      <c r="F131" s="1" t="str">
        <f>_xlfn.XLOOKUP(B131,Mapping!A:A,Mapping!B:B)</f>
        <v>Marketing</v>
      </c>
      <c r="G131" s="1" t="str">
        <f>_xlfn.XLOOKUP(B131,Mapping!A:A,Mapping!C:C)</f>
        <v>Other OPEX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</row>
    <row r="132" spans="1:500">
      <c r="A132" s="3">
        <v>46142</v>
      </c>
      <c r="B132" s="1">
        <v>6300</v>
      </c>
      <c r="C132" s="1" t="s">
        <v>26</v>
      </c>
      <c r="D132" s="1" t="s">
        <v>27</v>
      </c>
      <c r="E132" s="1">
        <v>-3279.96</v>
      </c>
      <c r="F132" s="1" t="str">
        <f>_xlfn.XLOOKUP(B132,Mapping!A:A,Mapping!B:B)</f>
        <v>Travel</v>
      </c>
      <c r="G132" s="1" t="str">
        <f>_xlfn.XLOOKUP(B132,Mapping!A:A,Mapping!C:C)</f>
        <v>Other OPEX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</row>
    <row r="133" spans="1:500">
      <c r="A133" s="3">
        <v>46142</v>
      </c>
      <c r="B133" s="1">
        <v>6400</v>
      </c>
      <c r="C133" s="1" t="s">
        <v>26</v>
      </c>
      <c r="D133" s="1" t="s">
        <v>27</v>
      </c>
      <c r="E133" s="1">
        <v>-4869.22</v>
      </c>
      <c r="F133" s="1" t="str">
        <f>_xlfn.XLOOKUP(B133,Mapping!A:A,Mapping!B:B)</f>
        <v>Professional Services</v>
      </c>
      <c r="G133" s="1" t="str">
        <f>_xlfn.XLOOKUP(B133,Mapping!A:A,Mapping!C:C)</f>
        <v>Other OPEX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</row>
    <row r="134" spans="1:500">
      <c r="A134" s="3">
        <v>46173</v>
      </c>
      <c r="B134" s="1">
        <v>3000</v>
      </c>
      <c r="C134" s="1" t="s">
        <v>22</v>
      </c>
      <c r="D134" s="1" t="s">
        <v>23</v>
      </c>
      <c r="E134" s="1">
        <v>337590</v>
      </c>
      <c r="F134" s="1" t="str">
        <f>_xlfn.XLOOKUP(B134,Mapping!A:A,Mapping!B:B)</f>
        <v>Product Sales</v>
      </c>
      <c r="G134" s="1" t="str">
        <f>_xlfn.XLOOKUP(B134,Mapping!A:A,Mapping!C:C)</f>
        <v>Revenue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</row>
    <row r="135" spans="1:500">
      <c r="A135" s="3">
        <v>46173</v>
      </c>
      <c r="B135" s="1">
        <v>3100</v>
      </c>
      <c r="C135" s="1" t="s">
        <v>22</v>
      </c>
      <c r="D135" s="1" t="s">
        <v>23</v>
      </c>
      <c r="E135" s="1">
        <v>94435</v>
      </c>
      <c r="F135" s="1" t="str">
        <f>_xlfn.XLOOKUP(B135,Mapping!A:A,Mapping!B:B)</f>
        <v>Service Revenue</v>
      </c>
      <c r="G135" s="1" t="str">
        <f>_xlfn.XLOOKUP(B135,Mapping!A:A,Mapping!C:C)</f>
        <v>Revenue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</row>
    <row r="136" spans="1:500">
      <c r="A136" s="3">
        <v>46173</v>
      </c>
      <c r="B136" s="1">
        <v>4000</v>
      </c>
      <c r="C136" s="1" t="s">
        <v>22</v>
      </c>
      <c r="D136" s="1" t="s">
        <v>23</v>
      </c>
      <c r="E136" s="1">
        <v>-145024</v>
      </c>
      <c r="F136" s="1" t="str">
        <f>_xlfn.XLOOKUP(B136,Mapping!A:A,Mapping!B:B)</f>
        <v>Materials</v>
      </c>
      <c r="G136" s="1" t="str">
        <f>_xlfn.XLOOKUP(B136,Mapping!A:A,Mapping!C:C)</f>
        <v>COGS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</row>
    <row r="137" spans="1:500">
      <c r="A137" s="3">
        <v>46173</v>
      </c>
      <c r="B137" s="1">
        <v>4100</v>
      </c>
      <c r="C137" s="1" t="s">
        <v>22</v>
      </c>
      <c r="D137" s="1" t="s">
        <v>23</v>
      </c>
      <c r="E137" s="1">
        <v>-28512</v>
      </c>
      <c r="F137" s="1" t="str">
        <f>_xlfn.XLOOKUP(B137,Mapping!A:A,Mapping!B:B)</f>
        <v>Freight &amp; Logistics</v>
      </c>
      <c r="G137" s="1" t="str">
        <f>_xlfn.XLOOKUP(B137,Mapping!A:A,Mapping!C:C)</f>
        <v>COGS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</row>
    <row r="138" spans="1:500">
      <c r="A138" s="3">
        <v>46173</v>
      </c>
      <c r="B138" s="1">
        <v>5000</v>
      </c>
      <c r="C138" s="1" t="s">
        <v>22</v>
      </c>
      <c r="D138" s="1" t="s">
        <v>23</v>
      </c>
      <c r="E138" s="1">
        <v>-77616</v>
      </c>
      <c r="F138" s="1" t="str">
        <f>_xlfn.XLOOKUP(B138,Mapping!A:A,Mapping!B:B)</f>
        <v>Salaries</v>
      </c>
      <c r="G138" s="1" t="str">
        <f>_xlfn.XLOOKUP(B138,Mapping!A:A,Mapping!C:C)</f>
        <v>Personnel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</row>
    <row r="139" spans="1:500">
      <c r="A139" s="3">
        <v>46173</v>
      </c>
      <c r="B139" s="1">
        <v>5100</v>
      </c>
      <c r="C139" s="1" t="s">
        <v>22</v>
      </c>
      <c r="D139" s="1" t="s">
        <v>23</v>
      </c>
      <c r="E139" s="1">
        <v>-17600</v>
      </c>
      <c r="F139" s="1" t="str">
        <f>_xlfn.XLOOKUP(B139,Mapping!A:A,Mapping!B:B)</f>
        <v>Employee Benefits</v>
      </c>
      <c r="G139" s="1" t="str">
        <f>_xlfn.XLOOKUP(B139,Mapping!A:A,Mapping!C:C)</f>
        <v>Personnel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</row>
    <row r="140" spans="1:500">
      <c r="A140" s="3">
        <v>46173</v>
      </c>
      <c r="B140" s="1">
        <v>6000</v>
      </c>
      <c r="C140" s="1" t="s">
        <v>22</v>
      </c>
      <c r="D140" s="1" t="s">
        <v>23</v>
      </c>
      <c r="E140" s="1">
        <v>-16830</v>
      </c>
      <c r="F140" s="1" t="str">
        <f>_xlfn.XLOOKUP(B140,Mapping!A:A,Mapping!B:B)</f>
        <v xml:space="preserve">Rent </v>
      </c>
      <c r="G140" s="1" t="str">
        <f>_xlfn.XLOOKUP(B140,Mapping!A:A,Mapping!C:C)</f>
        <v>Other OPEX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</row>
    <row r="141" spans="1:500">
      <c r="A141" s="3">
        <v>46173</v>
      </c>
      <c r="B141" s="1">
        <v>6100</v>
      </c>
      <c r="C141" s="1" t="s">
        <v>22</v>
      </c>
      <c r="D141" s="1" t="s">
        <v>23</v>
      </c>
      <c r="E141" s="1">
        <v>-13728</v>
      </c>
      <c r="F141" s="1" t="str">
        <f>_xlfn.XLOOKUP(B141,Mapping!A:A,Mapping!B:B)</f>
        <v>IT &amp; Software</v>
      </c>
      <c r="G141" s="1" t="str">
        <f>_xlfn.XLOOKUP(B141,Mapping!A:A,Mapping!C:C)</f>
        <v>Other OPEX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</row>
    <row r="142" spans="1:500">
      <c r="A142" s="3">
        <v>46173</v>
      </c>
      <c r="B142" s="1">
        <v>6200</v>
      </c>
      <c r="C142" s="1" t="s">
        <v>22</v>
      </c>
      <c r="D142" s="1" t="s">
        <v>23</v>
      </c>
      <c r="E142" s="1">
        <v>-9603</v>
      </c>
      <c r="F142" s="1" t="str">
        <f>_xlfn.XLOOKUP(B142,Mapping!A:A,Mapping!B:B)</f>
        <v>Marketing</v>
      </c>
      <c r="G142" s="1" t="str">
        <f>_xlfn.XLOOKUP(B142,Mapping!A:A,Mapping!C:C)</f>
        <v>Other OPEX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</row>
    <row r="143" spans="1:500">
      <c r="A143" s="3">
        <v>46173</v>
      </c>
      <c r="B143" s="1">
        <v>6300</v>
      </c>
      <c r="C143" s="1" t="s">
        <v>22</v>
      </c>
      <c r="D143" s="1" t="s">
        <v>23</v>
      </c>
      <c r="E143" s="1">
        <v>-5989.5</v>
      </c>
      <c r="F143" s="1" t="str">
        <f>_xlfn.XLOOKUP(B143,Mapping!A:A,Mapping!B:B)</f>
        <v>Travel</v>
      </c>
      <c r="G143" s="1" t="str">
        <f>_xlfn.XLOOKUP(B143,Mapping!A:A,Mapping!C:C)</f>
        <v>Other OPEX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</row>
    <row r="144" spans="1:500">
      <c r="A144" s="3">
        <v>46173</v>
      </c>
      <c r="B144" s="1">
        <v>6400</v>
      </c>
      <c r="C144" s="1" t="s">
        <v>22</v>
      </c>
      <c r="D144" s="1" t="s">
        <v>23</v>
      </c>
      <c r="E144" s="1">
        <v>-8888</v>
      </c>
      <c r="F144" s="1" t="str">
        <f>_xlfn.XLOOKUP(B144,Mapping!A:A,Mapping!B:B)</f>
        <v>Professional Services</v>
      </c>
      <c r="G144" s="1" t="str">
        <f>_xlfn.XLOOKUP(B144,Mapping!A:A,Mapping!C:C)</f>
        <v>Other OPEX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</row>
    <row r="145" spans="1:500">
      <c r="A145" s="3">
        <v>46173</v>
      </c>
      <c r="B145" s="1">
        <v>3000</v>
      </c>
      <c r="C145" s="1" t="s">
        <v>24</v>
      </c>
      <c r="D145" s="1" t="s">
        <v>25</v>
      </c>
      <c r="E145" s="1">
        <v>290804.8</v>
      </c>
      <c r="F145" s="1" t="str">
        <f>_xlfn.XLOOKUP(B145,Mapping!A:A,Mapping!B:B)</f>
        <v>Product Sales</v>
      </c>
      <c r="G145" s="1" t="str">
        <f>_xlfn.XLOOKUP(B145,Mapping!A:A,Mapping!C:C)</f>
        <v>Revenue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</row>
    <row r="146" spans="1:500">
      <c r="A146" s="3">
        <v>46173</v>
      </c>
      <c r="B146" s="1">
        <v>3100</v>
      </c>
      <c r="C146" s="1" t="s">
        <v>24</v>
      </c>
      <c r="D146" s="1" t="s">
        <v>25</v>
      </c>
      <c r="E146" s="1">
        <v>74369.899999999994</v>
      </c>
      <c r="F146" s="1" t="str">
        <f>_xlfn.XLOOKUP(B146,Mapping!A:A,Mapping!B:B)</f>
        <v>Service Revenue</v>
      </c>
      <c r="G146" s="1" t="str">
        <f>_xlfn.XLOOKUP(B146,Mapping!A:A,Mapping!C:C)</f>
        <v>Revenue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</row>
    <row r="147" spans="1:500">
      <c r="A147" s="3">
        <v>46173</v>
      </c>
      <c r="B147" s="1">
        <v>4000</v>
      </c>
      <c r="C147" s="1" t="s">
        <v>24</v>
      </c>
      <c r="D147" s="1" t="s">
        <v>25</v>
      </c>
      <c r="E147" s="1">
        <v>-114301.44</v>
      </c>
      <c r="F147" s="1" t="str">
        <f>_xlfn.XLOOKUP(B147,Mapping!A:A,Mapping!B:B)</f>
        <v>Materials</v>
      </c>
      <c r="G147" s="1" t="str">
        <f>_xlfn.XLOOKUP(B147,Mapping!A:A,Mapping!C:C)</f>
        <v>COGS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</row>
    <row r="148" spans="1:500">
      <c r="A148" s="3">
        <v>46173</v>
      </c>
      <c r="B148" s="1">
        <v>4100</v>
      </c>
      <c r="C148" s="1" t="s">
        <v>24</v>
      </c>
      <c r="D148" s="1" t="s">
        <v>25</v>
      </c>
      <c r="E148" s="1">
        <v>-24597.54</v>
      </c>
      <c r="F148" s="1" t="str">
        <f>_xlfn.XLOOKUP(B148,Mapping!A:A,Mapping!B:B)</f>
        <v>Freight &amp; Logistics</v>
      </c>
      <c r="G148" s="1" t="str">
        <f>_xlfn.XLOOKUP(B148,Mapping!A:A,Mapping!C:C)</f>
        <v>COGS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</row>
    <row r="149" spans="1:500">
      <c r="A149" s="3">
        <v>46173</v>
      </c>
      <c r="B149" s="1">
        <v>5000</v>
      </c>
      <c r="C149" s="1" t="s">
        <v>24</v>
      </c>
      <c r="D149" s="1" t="s">
        <v>25</v>
      </c>
      <c r="E149" s="1">
        <v>-66892.320000000007</v>
      </c>
      <c r="F149" s="1" t="str">
        <f>_xlfn.XLOOKUP(B149,Mapping!A:A,Mapping!B:B)</f>
        <v>Salaries</v>
      </c>
      <c r="G149" s="1" t="str">
        <f>_xlfn.XLOOKUP(B149,Mapping!A:A,Mapping!C:C)</f>
        <v>Personnel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</row>
    <row r="150" spans="1:500">
      <c r="A150" s="3">
        <v>46173</v>
      </c>
      <c r="B150" s="1">
        <v>5100</v>
      </c>
      <c r="C150" s="1" t="s">
        <v>24</v>
      </c>
      <c r="D150" s="1" t="s">
        <v>25</v>
      </c>
      <c r="E150" s="1">
        <v>-13854.72</v>
      </c>
      <c r="F150" s="1" t="str">
        <f>_xlfn.XLOOKUP(B150,Mapping!A:A,Mapping!B:B)</f>
        <v>Employee Benefits</v>
      </c>
      <c r="G150" s="1" t="str">
        <f>_xlfn.XLOOKUP(B150,Mapping!A:A,Mapping!C:C)</f>
        <v>Personnel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</row>
    <row r="151" spans="1:500">
      <c r="A151" s="3">
        <v>46173</v>
      </c>
      <c r="B151" s="1">
        <v>6000</v>
      </c>
      <c r="C151" s="1" t="s">
        <v>24</v>
      </c>
      <c r="D151" s="1" t="s">
        <v>25</v>
      </c>
      <c r="E151" s="1">
        <v>-13259.4</v>
      </c>
      <c r="F151" s="1" t="str">
        <f>_xlfn.XLOOKUP(B151,Mapping!A:A,Mapping!B:B)</f>
        <v xml:space="preserve">Rent </v>
      </c>
      <c r="G151" s="1" t="str">
        <f>_xlfn.XLOOKUP(B151,Mapping!A:A,Mapping!C:C)</f>
        <v>Other OPEX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</row>
    <row r="152" spans="1:500">
      <c r="A152" s="3">
        <v>46173</v>
      </c>
      <c r="B152" s="1">
        <v>6100</v>
      </c>
      <c r="C152" s="1" t="s">
        <v>24</v>
      </c>
      <c r="D152" s="1" t="s">
        <v>25</v>
      </c>
      <c r="E152" s="1">
        <v>-10824</v>
      </c>
      <c r="F152" s="1" t="str">
        <f>_xlfn.XLOOKUP(B152,Mapping!A:A,Mapping!B:B)</f>
        <v>IT &amp; Software</v>
      </c>
      <c r="G152" s="1" t="str">
        <f>_xlfn.XLOOKUP(B152,Mapping!A:A,Mapping!C:C)</f>
        <v>Other OPEX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</row>
    <row r="153" spans="1:500">
      <c r="A153" s="3">
        <v>46173</v>
      </c>
      <c r="B153" s="1">
        <v>6200</v>
      </c>
      <c r="C153" s="1" t="s">
        <v>24</v>
      </c>
      <c r="D153" s="1" t="s">
        <v>25</v>
      </c>
      <c r="E153" s="1">
        <v>-8280.36</v>
      </c>
      <c r="F153" s="1" t="str">
        <f>_xlfn.XLOOKUP(B153,Mapping!A:A,Mapping!B:B)</f>
        <v>Marketing</v>
      </c>
      <c r="G153" s="1" t="str">
        <f>_xlfn.XLOOKUP(B153,Mapping!A:A,Mapping!C:C)</f>
        <v>Other OPEX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</row>
    <row r="154" spans="1:500">
      <c r="A154" s="3">
        <v>46173</v>
      </c>
      <c r="B154" s="1">
        <v>6300</v>
      </c>
      <c r="C154" s="1" t="s">
        <v>24</v>
      </c>
      <c r="D154" s="1" t="s">
        <v>25</v>
      </c>
      <c r="E154" s="1">
        <v>-5159.4399999999996</v>
      </c>
      <c r="F154" s="1" t="str">
        <f>_xlfn.XLOOKUP(B154,Mapping!A:A,Mapping!B:B)</f>
        <v>Travel</v>
      </c>
      <c r="G154" s="1" t="str">
        <f>_xlfn.XLOOKUP(B154,Mapping!A:A,Mapping!C:C)</f>
        <v>Other OPEX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</row>
    <row r="155" spans="1:500">
      <c r="A155" s="3">
        <v>46173</v>
      </c>
      <c r="B155" s="1">
        <v>6400</v>
      </c>
      <c r="C155" s="1" t="s">
        <v>24</v>
      </c>
      <c r="D155" s="1" t="s">
        <v>25</v>
      </c>
      <c r="E155" s="1">
        <v>-6999.52</v>
      </c>
      <c r="F155" s="1" t="str">
        <f>_xlfn.XLOOKUP(B155,Mapping!A:A,Mapping!B:B)</f>
        <v>Professional Services</v>
      </c>
      <c r="G155" s="1" t="str">
        <f>_xlfn.XLOOKUP(B155,Mapping!A:A,Mapping!C:C)</f>
        <v>Other OPEX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</row>
    <row r="156" spans="1:500">
      <c r="A156" s="3">
        <v>46173</v>
      </c>
      <c r="B156" s="1">
        <v>3000</v>
      </c>
      <c r="C156" s="1" t="s">
        <v>26</v>
      </c>
      <c r="D156" s="1" t="s">
        <v>27</v>
      </c>
      <c r="E156" s="1">
        <v>197780</v>
      </c>
      <c r="F156" s="1" t="str">
        <f>_xlfn.XLOOKUP(B156,Mapping!A:A,Mapping!B:B)</f>
        <v>Product Sales</v>
      </c>
      <c r="G156" s="1" t="str">
        <f>_xlfn.XLOOKUP(B156,Mapping!A:A,Mapping!C:C)</f>
        <v>Revenue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</row>
    <row r="157" spans="1:500">
      <c r="A157" s="3">
        <v>46173</v>
      </c>
      <c r="B157" s="1">
        <v>3100</v>
      </c>
      <c r="C157" s="1" t="s">
        <v>26</v>
      </c>
      <c r="D157" s="1" t="s">
        <v>27</v>
      </c>
      <c r="E157" s="1">
        <v>55314.6</v>
      </c>
      <c r="F157" s="1" t="str">
        <f>_xlfn.XLOOKUP(B157,Mapping!A:A,Mapping!B:B)</f>
        <v>Service Revenue</v>
      </c>
      <c r="G157" s="1" t="str">
        <f>_xlfn.XLOOKUP(B157,Mapping!A:A,Mapping!C:C)</f>
        <v>Revenue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</row>
    <row r="158" spans="1:500">
      <c r="A158" s="3">
        <v>46173</v>
      </c>
      <c r="B158" s="1">
        <v>4000</v>
      </c>
      <c r="C158" s="1" t="s">
        <v>26</v>
      </c>
      <c r="D158" s="1" t="s">
        <v>27</v>
      </c>
      <c r="E158" s="1">
        <v>-84930.559999999998</v>
      </c>
      <c r="F158" s="1" t="str">
        <f>_xlfn.XLOOKUP(B158,Mapping!A:A,Mapping!B:B)</f>
        <v>Materials</v>
      </c>
      <c r="G158" s="1" t="str">
        <f>_xlfn.XLOOKUP(B158,Mapping!A:A,Mapping!C:C)</f>
        <v>COGS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</row>
    <row r="159" spans="1:500">
      <c r="A159" s="3">
        <v>46173</v>
      </c>
      <c r="B159" s="1">
        <v>4100</v>
      </c>
      <c r="C159" s="1" t="s">
        <v>26</v>
      </c>
      <c r="D159" s="1" t="s">
        <v>27</v>
      </c>
      <c r="E159" s="1">
        <v>-16709.22</v>
      </c>
      <c r="F159" s="1" t="str">
        <f>_xlfn.XLOOKUP(B159,Mapping!A:A,Mapping!B:B)</f>
        <v>Freight &amp; Logistics</v>
      </c>
      <c r="G159" s="1" t="str">
        <f>_xlfn.XLOOKUP(B159,Mapping!A:A,Mapping!C:C)</f>
        <v>COGS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</row>
    <row r="160" spans="1:500">
      <c r="A160" s="3">
        <v>46173</v>
      </c>
      <c r="B160" s="1">
        <v>5000</v>
      </c>
      <c r="C160" s="1" t="s">
        <v>26</v>
      </c>
      <c r="D160" s="1" t="s">
        <v>27</v>
      </c>
      <c r="E160" s="1">
        <v>-45476.639999999999</v>
      </c>
      <c r="F160" s="1" t="str">
        <f>_xlfn.XLOOKUP(B160,Mapping!A:A,Mapping!B:B)</f>
        <v>Salaries</v>
      </c>
      <c r="G160" s="1" t="str">
        <f>_xlfn.XLOOKUP(B160,Mapping!A:A,Mapping!C:C)</f>
        <v>Personnel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</row>
    <row r="161" spans="1:500">
      <c r="A161" s="3">
        <v>46173</v>
      </c>
      <c r="B161" s="1">
        <v>5100</v>
      </c>
      <c r="C161" s="1" t="s">
        <v>26</v>
      </c>
      <c r="D161" s="1" t="s">
        <v>27</v>
      </c>
      <c r="E161" s="1">
        <v>-10310.08</v>
      </c>
      <c r="F161" s="1" t="str">
        <f>_xlfn.XLOOKUP(B161,Mapping!A:A,Mapping!B:B)</f>
        <v>Employee Benefits</v>
      </c>
      <c r="G161" s="1" t="str">
        <f>_xlfn.XLOOKUP(B161,Mapping!A:A,Mapping!C:C)</f>
        <v>Personnel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</row>
    <row r="162" spans="1:500">
      <c r="A162" s="3">
        <v>46173</v>
      </c>
      <c r="B162" s="1">
        <v>6000</v>
      </c>
      <c r="C162" s="1" t="s">
        <v>26</v>
      </c>
      <c r="D162" s="1" t="s">
        <v>27</v>
      </c>
      <c r="E162" s="1">
        <v>-9857.1</v>
      </c>
      <c r="F162" s="1" t="str">
        <f>_xlfn.XLOOKUP(B162,Mapping!A:A,Mapping!B:B)</f>
        <v xml:space="preserve">Rent </v>
      </c>
      <c r="G162" s="1" t="str">
        <f>_xlfn.XLOOKUP(B162,Mapping!A:A,Mapping!C:C)</f>
        <v>Other OPEX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</row>
    <row r="163" spans="1:500">
      <c r="A163" s="3">
        <v>46173</v>
      </c>
      <c r="B163" s="1">
        <v>6100</v>
      </c>
      <c r="C163" s="1" t="s">
        <v>26</v>
      </c>
      <c r="D163" s="1" t="s">
        <v>27</v>
      </c>
      <c r="E163" s="1">
        <v>-7349.76</v>
      </c>
      <c r="F163" s="1" t="str">
        <f>_xlfn.XLOOKUP(B163,Mapping!A:A,Mapping!B:B)</f>
        <v>IT &amp; Software</v>
      </c>
      <c r="G163" s="1" t="str">
        <f>_xlfn.XLOOKUP(B163,Mapping!A:A,Mapping!C:C)</f>
        <v>Other OPEX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</row>
    <row r="164" spans="1:500">
      <c r="A164" s="3">
        <v>46173</v>
      </c>
      <c r="B164" s="1">
        <v>6200</v>
      </c>
      <c r="C164" s="1" t="s">
        <v>26</v>
      </c>
      <c r="D164" s="1" t="s">
        <v>27</v>
      </c>
      <c r="E164" s="1">
        <v>-5627.16</v>
      </c>
      <c r="F164" s="1" t="str">
        <f>_xlfn.XLOOKUP(B164,Mapping!A:A,Mapping!B:B)</f>
        <v>Marketing</v>
      </c>
      <c r="G164" s="1" t="str">
        <f>_xlfn.XLOOKUP(B164,Mapping!A:A,Mapping!C:C)</f>
        <v>Other OPEX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</row>
    <row r="165" spans="1:500">
      <c r="A165" s="3">
        <v>46173</v>
      </c>
      <c r="B165" s="1">
        <v>6300</v>
      </c>
      <c r="C165" s="1" t="s">
        <v>26</v>
      </c>
      <c r="D165" s="1" t="s">
        <v>27</v>
      </c>
      <c r="E165" s="1">
        <v>-3509</v>
      </c>
      <c r="F165" s="1" t="str">
        <f>_xlfn.XLOOKUP(B165,Mapping!A:A,Mapping!B:B)</f>
        <v>Travel</v>
      </c>
      <c r="G165" s="1" t="str">
        <f>_xlfn.XLOOKUP(B165,Mapping!A:A,Mapping!C:C)</f>
        <v>Other OPEX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</row>
    <row r="166" spans="1:500">
      <c r="A166" s="3">
        <v>46173</v>
      </c>
      <c r="B166" s="1">
        <v>6400</v>
      </c>
      <c r="C166" s="1" t="s">
        <v>26</v>
      </c>
      <c r="D166" s="1" t="s">
        <v>27</v>
      </c>
      <c r="E166" s="1">
        <v>-5206.08</v>
      </c>
      <c r="F166" s="1" t="str">
        <f>_xlfn.XLOOKUP(B166,Mapping!A:A,Mapping!B:B)</f>
        <v>Professional Services</v>
      </c>
      <c r="G166" s="1" t="str">
        <f>_xlfn.XLOOKUP(B166,Mapping!A:A,Mapping!C:C)</f>
        <v>Other OPEX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</row>
    <row r="167" spans="1:500">
      <c r="A167" s="3">
        <v>46203</v>
      </c>
      <c r="B167" s="1">
        <v>3000</v>
      </c>
      <c r="C167" s="1" t="s">
        <v>22</v>
      </c>
      <c r="D167" s="1" t="s">
        <v>23</v>
      </c>
      <c r="E167" s="1">
        <v>341496</v>
      </c>
      <c r="F167" s="1" t="str">
        <f>_xlfn.XLOOKUP(B167,Mapping!A:A,Mapping!B:B)</f>
        <v>Product Sales</v>
      </c>
      <c r="G167" s="1" t="str">
        <f>_xlfn.XLOOKUP(B167,Mapping!A:A,Mapping!C:C)</f>
        <v>Revenue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</row>
    <row r="168" spans="1:500">
      <c r="A168" s="3">
        <v>46203</v>
      </c>
      <c r="B168" s="1">
        <v>3100</v>
      </c>
      <c r="C168" s="1" t="s">
        <v>22</v>
      </c>
      <c r="D168" s="1" t="s">
        <v>23</v>
      </c>
      <c r="E168" s="1">
        <v>95472</v>
      </c>
      <c r="F168" s="1" t="str">
        <f>_xlfn.XLOOKUP(B168,Mapping!A:A,Mapping!B:B)</f>
        <v>Service Revenue</v>
      </c>
      <c r="G168" s="1" t="str">
        <f>_xlfn.XLOOKUP(B168,Mapping!A:A,Mapping!C:C)</f>
        <v>Revenue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</row>
    <row r="169" spans="1:500">
      <c r="A169" s="3">
        <v>46203</v>
      </c>
      <c r="B169" s="1">
        <v>4000</v>
      </c>
      <c r="C169" s="1" t="s">
        <v>22</v>
      </c>
      <c r="D169" s="1" t="s">
        <v>23</v>
      </c>
      <c r="E169" s="1">
        <v>-134092.79999999999</v>
      </c>
      <c r="F169" s="1" t="str">
        <f>_xlfn.XLOOKUP(B169,Mapping!A:A,Mapping!B:B)</f>
        <v>Materials</v>
      </c>
      <c r="G169" s="1" t="str">
        <f>_xlfn.XLOOKUP(B169,Mapping!A:A,Mapping!C:C)</f>
        <v>COGS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</row>
    <row r="170" spans="1:500">
      <c r="A170" s="3">
        <v>46203</v>
      </c>
      <c r="B170" s="1">
        <v>4100</v>
      </c>
      <c r="C170" s="1" t="s">
        <v>22</v>
      </c>
      <c r="D170" s="1" t="s">
        <v>23</v>
      </c>
      <c r="E170" s="1">
        <v>-28868.400000000001</v>
      </c>
      <c r="F170" s="1" t="str">
        <f>_xlfn.XLOOKUP(B170,Mapping!A:A,Mapping!B:B)</f>
        <v>Freight &amp; Logistics</v>
      </c>
      <c r="G170" s="1" t="str">
        <f>_xlfn.XLOOKUP(B170,Mapping!A:A,Mapping!C:C)</f>
        <v>COGS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</row>
    <row r="171" spans="1:500">
      <c r="A171" s="3">
        <v>46203</v>
      </c>
      <c r="B171" s="1">
        <v>5000</v>
      </c>
      <c r="C171" s="1" t="s">
        <v>22</v>
      </c>
      <c r="D171" s="1" t="s">
        <v>23</v>
      </c>
      <c r="E171" s="1">
        <v>-78537.600000000006</v>
      </c>
      <c r="F171" s="1" t="str">
        <f>_xlfn.XLOOKUP(B171,Mapping!A:A,Mapping!B:B)</f>
        <v>Salaries</v>
      </c>
      <c r="G171" s="1" t="str">
        <f>_xlfn.XLOOKUP(B171,Mapping!A:A,Mapping!C:C)</f>
        <v>Personnel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</row>
    <row r="172" spans="1:500">
      <c r="A172" s="3">
        <v>46203</v>
      </c>
      <c r="B172" s="1">
        <v>5100</v>
      </c>
      <c r="C172" s="1" t="s">
        <v>22</v>
      </c>
      <c r="D172" s="1" t="s">
        <v>23</v>
      </c>
      <c r="E172" s="1">
        <v>-17798.400000000001</v>
      </c>
      <c r="F172" s="1" t="str">
        <f>_xlfn.XLOOKUP(B172,Mapping!A:A,Mapping!B:B)</f>
        <v>Employee Benefits</v>
      </c>
      <c r="G172" s="1" t="str">
        <f>_xlfn.XLOOKUP(B172,Mapping!A:A,Mapping!C:C)</f>
        <v>Personnel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</row>
    <row r="173" spans="1:500">
      <c r="A173" s="3">
        <v>46203</v>
      </c>
      <c r="B173" s="1">
        <v>6000</v>
      </c>
      <c r="C173" s="1" t="s">
        <v>22</v>
      </c>
      <c r="D173" s="1" t="s">
        <v>23</v>
      </c>
      <c r="E173" s="1">
        <v>-15552</v>
      </c>
      <c r="F173" s="1" t="str">
        <f>_xlfn.XLOOKUP(B173,Mapping!A:A,Mapping!B:B)</f>
        <v xml:space="preserve">Rent </v>
      </c>
      <c r="G173" s="1" t="str">
        <f>_xlfn.XLOOKUP(B173,Mapping!A:A,Mapping!C:C)</f>
        <v>Other OPEX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</row>
    <row r="174" spans="1:500">
      <c r="A174" s="3">
        <v>46203</v>
      </c>
      <c r="B174" s="1">
        <v>6100</v>
      </c>
      <c r="C174" s="1" t="s">
        <v>22</v>
      </c>
      <c r="D174" s="1" t="s">
        <v>23</v>
      </c>
      <c r="E174" s="1">
        <v>-12700.8</v>
      </c>
      <c r="F174" s="1" t="str">
        <f>_xlfn.XLOOKUP(B174,Mapping!A:A,Mapping!B:B)</f>
        <v>IT &amp; Software</v>
      </c>
      <c r="G174" s="1" t="str">
        <f>_xlfn.XLOOKUP(B174,Mapping!A:A,Mapping!C:C)</f>
        <v>Other OPEX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</row>
    <row r="175" spans="1:500">
      <c r="A175" s="3">
        <v>46203</v>
      </c>
      <c r="B175" s="1">
        <v>6200</v>
      </c>
      <c r="C175" s="1" t="s">
        <v>22</v>
      </c>
      <c r="D175" s="1" t="s">
        <v>23</v>
      </c>
      <c r="E175" s="1">
        <v>-9720</v>
      </c>
      <c r="F175" s="1" t="str">
        <f>_xlfn.XLOOKUP(B175,Mapping!A:A,Mapping!B:B)</f>
        <v>Marketing</v>
      </c>
      <c r="G175" s="1" t="str">
        <f>_xlfn.XLOOKUP(B175,Mapping!A:A,Mapping!C:C)</f>
        <v>Other OPEX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</row>
    <row r="176" spans="1:500">
      <c r="A176" s="3">
        <v>46203</v>
      </c>
      <c r="B176" s="1">
        <v>6300</v>
      </c>
      <c r="C176" s="1" t="s">
        <v>22</v>
      </c>
      <c r="D176" s="1" t="s">
        <v>23</v>
      </c>
      <c r="E176" s="1">
        <v>-6058.8</v>
      </c>
      <c r="F176" s="1" t="str">
        <f>_xlfn.XLOOKUP(B176,Mapping!A:A,Mapping!B:B)</f>
        <v>Travel</v>
      </c>
      <c r="G176" s="1" t="str">
        <f>_xlfn.XLOOKUP(B176,Mapping!A:A,Mapping!C:C)</f>
        <v>Other OPEX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</row>
    <row r="177" spans="1:500">
      <c r="A177" s="3">
        <v>46203</v>
      </c>
      <c r="B177" s="1">
        <v>6400</v>
      </c>
      <c r="C177" s="1" t="s">
        <v>22</v>
      </c>
      <c r="D177" s="1" t="s">
        <v>23</v>
      </c>
      <c r="E177" s="1">
        <v>-8985.6</v>
      </c>
      <c r="F177" s="1" t="str">
        <f>_xlfn.XLOOKUP(B177,Mapping!A:A,Mapping!B:B)</f>
        <v>Professional Services</v>
      </c>
      <c r="G177" s="1" t="str">
        <f>_xlfn.XLOOKUP(B177,Mapping!A:A,Mapping!C:C)</f>
        <v>Other OPEX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</row>
    <row r="178" spans="1:500">
      <c r="A178" s="3">
        <v>46203</v>
      </c>
      <c r="B178" s="1">
        <v>3000</v>
      </c>
      <c r="C178" s="1" t="s">
        <v>24</v>
      </c>
      <c r="D178" s="1" t="s">
        <v>25</v>
      </c>
      <c r="E178" s="1">
        <v>269045.28000000003</v>
      </c>
      <c r="F178" s="1" t="str">
        <f>_xlfn.XLOOKUP(B178,Mapping!A:A,Mapping!B:B)</f>
        <v>Product Sales</v>
      </c>
      <c r="G178" s="1" t="str">
        <f>_xlfn.XLOOKUP(B178,Mapping!A:A,Mapping!C:C)</f>
        <v>Revenue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</row>
    <row r="179" spans="1:500">
      <c r="A179" s="3">
        <v>46203</v>
      </c>
      <c r="B179" s="1">
        <v>3100</v>
      </c>
      <c r="C179" s="1" t="s">
        <v>24</v>
      </c>
      <c r="D179" s="1" t="s">
        <v>25</v>
      </c>
      <c r="E179" s="1">
        <v>75276</v>
      </c>
      <c r="F179" s="1" t="str">
        <f>_xlfn.XLOOKUP(B179,Mapping!A:A,Mapping!B:B)</f>
        <v>Service Revenue</v>
      </c>
      <c r="G179" s="1" t="str">
        <f>_xlfn.XLOOKUP(B179,Mapping!A:A,Mapping!C:C)</f>
        <v>Revenue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</row>
    <row r="180" spans="1:500">
      <c r="A180" s="3">
        <v>46203</v>
      </c>
      <c r="B180" s="1">
        <v>4000</v>
      </c>
      <c r="C180" s="1" t="s">
        <v>24</v>
      </c>
      <c r="D180" s="1" t="s">
        <v>25</v>
      </c>
      <c r="E180" s="1">
        <v>-115623.94</v>
      </c>
      <c r="F180" s="1" t="str">
        <f>_xlfn.XLOOKUP(B180,Mapping!A:A,Mapping!B:B)</f>
        <v>Materials</v>
      </c>
      <c r="G180" s="1" t="str">
        <f>_xlfn.XLOOKUP(B180,Mapping!A:A,Mapping!C:C)</f>
        <v>COGS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</row>
    <row r="181" spans="1:500">
      <c r="A181" s="3">
        <v>46203</v>
      </c>
      <c r="B181" s="1">
        <v>4100</v>
      </c>
      <c r="C181" s="1" t="s">
        <v>24</v>
      </c>
      <c r="D181" s="1" t="s">
        <v>25</v>
      </c>
      <c r="E181" s="1">
        <v>-24867.65</v>
      </c>
      <c r="F181" s="1" t="str">
        <f>_xlfn.XLOOKUP(B181,Mapping!A:A,Mapping!B:B)</f>
        <v>Freight &amp; Logistics</v>
      </c>
      <c r="G181" s="1" t="str">
        <f>_xlfn.XLOOKUP(B181,Mapping!A:A,Mapping!C:C)</f>
        <v>COGS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</row>
    <row r="182" spans="1:500">
      <c r="A182" s="3">
        <v>46203</v>
      </c>
      <c r="B182" s="1">
        <v>5000</v>
      </c>
      <c r="C182" s="1" t="s">
        <v>24</v>
      </c>
      <c r="D182" s="1" t="s">
        <v>25</v>
      </c>
      <c r="E182" s="1">
        <v>-61850.3</v>
      </c>
      <c r="F182" s="1" t="str">
        <f>_xlfn.XLOOKUP(B182,Mapping!A:A,Mapping!B:B)</f>
        <v>Salaries</v>
      </c>
      <c r="G182" s="1" t="str">
        <f>_xlfn.XLOOKUP(B182,Mapping!A:A,Mapping!C:C)</f>
        <v>Personnel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</row>
    <row r="183" spans="1:500">
      <c r="A183" s="3">
        <v>46203</v>
      </c>
      <c r="B183" s="1">
        <v>5100</v>
      </c>
      <c r="C183" s="1" t="s">
        <v>24</v>
      </c>
      <c r="D183" s="1" t="s">
        <v>25</v>
      </c>
      <c r="E183" s="1">
        <v>-14027.9</v>
      </c>
      <c r="F183" s="1" t="str">
        <f>_xlfn.XLOOKUP(B183,Mapping!A:A,Mapping!B:B)</f>
        <v>Employee Benefits</v>
      </c>
      <c r="G183" s="1" t="str">
        <f>_xlfn.XLOOKUP(B183,Mapping!A:A,Mapping!C:C)</f>
        <v>Personnel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</row>
    <row r="184" spans="1:500">
      <c r="A184" s="3">
        <v>46203</v>
      </c>
      <c r="B184" s="1">
        <v>6000</v>
      </c>
      <c r="C184" s="1" t="s">
        <v>24</v>
      </c>
      <c r="D184" s="1" t="s">
        <v>25</v>
      </c>
      <c r="E184" s="1">
        <v>-13416.84</v>
      </c>
      <c r="F184" s="1" t="str">
        <f>_xlfn.XLOOKUP(B184,Mapping!A:A,Mapping!B:B)</f>
        <v xml:space="preserve">Rent </v>
      </c>
      <c r="G184" s="1" t="str">
        <f>_xlfn.XLOOKUP(B184,Mapping!A:A,Mapping!C:C)</f>
        <v>Other OPEX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</row>
    <row r="185" spans="1:500">
      <c r="A185" s="3">
        <v>46203</v>
      </c>
      <c r="B185" s="1">
        <v>6100</v>
      </c>
      <c r="C185" s="1" t="s">
        <v>24</v>
      </c>
      <c r="D185" s="1" t="s">
        <v>25</v>
      </c>
      <c r="E185" s="1">
        <v>-10946.02</v>
      </c>
      <c r="F185" s="1" t="str">
        <f>_xlfn.XLOOKUP(B185,Mapping!A:A,Mapping!B:B)</f>
        <v>IT &amp; Software</v>
      </c>
      <c r="G185" s="1" t="str">
        <f>_xlfn.XLOOKUP(B185,Mapping!A:A,Mapping!C:C)</f>
        <v>Other OPEX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</row>
    <row r="186" spans="1:500">
      <c r="A186" s="3">
        <v>46203</v>
      </c>
      <c r="B186" s="1">
        <v>6200</v>
      </c>
      <c r="C186" s="1" t="s">
        <v>24</v>
      </c>
      <c r="D186" s="1" t="s">
        <v>25</v>
      </c>
      <c r="E186" s="1">
        <v>-7651.58</v>
      </c>
      <c r="F186" s="1" t="str">
        <f>_xlfn.XLOOKUP(B186,Mapping!A:A,Mapping!B:B)</f>
        <v>Marketing</v>
      </c>
      <c r="G186" s="1" t="str">
        <f>_xlfn.XLOOKUP(B186,Mapping!A:A,Mapping!C:C)</f>
        <v>Other OPEX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</row>
    <row r="187" spans="1:500">
      <c r="A187" s="3">
        <v>46203</v>
      </c>
      <c r="B187" s="1">
        <v>6300</v>
      </c>
      <c r="C187" s="1" t="s">
        <v>24</v>
      </c>
      <c r="D187" s="1" t="s">
        <v>25</v>
      </c>
      <c r="E187" s="1">
        <v>-4773.38</v>
      </c>
      <c r="F187" s="1" t="str">
        <f>_xlfn.XLOOKUP(B187,Mapping!A:A,Mapping!B:B)</f>
        <v>Travel</v>
      </c>
      <c r="G187" s="1" t="str">
        <f>_xlfn.XLOOKUP(B187,Mapping!A:A,Mapping!C:C)</f>
        <v>Other OPEX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</row>
    <row r="188" spans="1:500">
      <c r="A188" s="3">
        <v>46203</v>
      </c>
      <c r="B188" s="1">
        <v>6400</v>
      </c>
      <c r="C188" s="1" t="s">
        <v>24</v>
      </c>
      <c r="D188" s="1" t="s">
        <v>25</v>
      </c>
      <c r="E188" s="1">
        <v>-7084.8</v>
      </c>
      <c r="F188" s="1" t="str">
        <f>_xlfn.XLOOKUP(B188,Mapping!A:A,Mapping!B:B)</f>
        <v>Professional Services</v>
      </c>
      <c r="G188" s="1" t="str">
        <f>_xlfn.XLOOKUP(B188,Mapping!A:A,Mapping!C:C)</f>
        <v>Other OPEX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</row>
    <row r="189" spans="1:500">
      <c r="A189" s="3">
        <v>46203</v>
      </c>
      <c r="B189" s="1">
        <v>3000</v>
      </c>
      <c r="C189" s="1" t="s">
        <v>26</v>
      </c>
      <c r="D189" s="1" t="s">
        <v>27</v>
      </c>
      <c r="E189" s="1">
        <v>200009.52</v>
      </c>
      <c r="F189" s="1" t="str">
        <f>_xlfn.XLOOKUP(B189,Mapping!A:A,Mapping!B:B)</f>
        <v>Product Sales</v>
      </c>
      <c r="G189" s="1" t="str">
        <f>_xlfn.XLOOKUP(B189,Mapping!A:A,Mapping!C:C)</f>
        <v>Revenue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</row>
    <row r="190" spans="1:500">
      <c r="A190" s="3">
        <v>46203</v>
      </c>
      <c r="B190" s="1">
        <v>3100</v>
      </c>
      <c r="C190" s="1" t="s">
        <v>26</v>
      </c>
      <c r="D190" s="1" t="s">
        <v>27</v>
      </c>
      <c r="E190" s="1">
        <v>51114.239999999998</v>
      </c>
      <c r="F190" s="1" t="str">
        <f>_xlfn.XLOOKUP(B190,Mapping!A:A,Mapping!B:B)</f>
        <v>Service Revenue</v>
      </c>
      <c r="G190" s="1" t="str">
        <f>_xlfn.XLOOKUP(B190,Mapping!A:A,Mapping!C:C)</f>
        <v>Revenue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</row>
    <row r="191" spans="1:500">
      <c r="A191" s="3">
        <v>46203</v>
      </c>
      <c r="B191" s="1">
        <v>4000</v>
      </c>
      <c r="C191" s="1" t="s">
        <v>26</v>
      </c>
      <c r="D191" s="1" t="s">
        <v>27</v>
      </c>
      <c r="E191" s="1">
        <v>-78575.62</v>
      </c>
      <c r="F191" s="1" t="str">
        <f>_xlfn.XLOOKUP(B191,Mapping!A:A,Mapping!B:B)</f>
        <v>Materials</v>
      </c>
      <c r="G191" s="1" t="str">
        <f>_xlfn.XLOOKUP(B191,Mapping!A:A,Mapping!C:C)</f>
        <v>COGS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</row>
    <row r="192" spans="1:500">
      <c r="A192" s="3">
        <v>46203</v>
      </c>
      <c r="B192" s="1">
        <v>4100</v>
      </c>
      <c r="C192" s="1" t="s">
        <v>26</v>
      </c>
      <c r="D192" s="1" t="s">
        <v>27</v>
      </c>
      <c r="E192" s="1">
        <v>-16912.8</v>
      </c>
      <c r="F192" s="1" t="str">
        <f>_xlfn.XLOOKUP(B192,Mapping!A:A,Mapping!B:B)</f>
        <v>Freight &amp; Logistics</v>
      </c>
      <c r="G192" s="1" t="str">
        <f>_xlfn.XLOOKUP(B192,Mapping!A:A,Mapping!C:C)</f>
        <v>COGS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</row>
    <row r="193" spans="1:500">
      <c r="A193" s="3">
        <v>46203</v>
      </c>
      <c r="B193" s="1">
        <v>5000</v>
      </c>
      <c r="C193" s="1" t="s">
        <v>26</v>
      </c>
      <c r="D193" s="1" t="s">
        <v>27</v>
      </c>
      <c r="E193" s="1">
        <v>-46002.82</v>
      </c>
      <c r="F193" s="1" t="str">
        <f>_xlfn.XLOOKUP(B193,Mapping!A:A,Mapping!B:B)</f>
        <v>Salaries</v>
      </c>
      <c r="G193" s="1" t="str">
        <f>_xlfn.XLOOKUP(B193,Mapping!A:A,Mapping!C:C)</f>
        <v>Personnel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</row>
    <row r="194" spans="1:500">
      <c r="A194" s="3">
        <v>46203</v>
      </c>
      <c r="B194" s="1">
        <v>5100</v>
      </c>
      <c r="C194" s="1" t="s">
        <v>26</v>
      </c>
      <c r="D194" s="1" t="s">
        <v>27</v>
      </c>
      <c r="E194" s="1">
        <v>-10423.299999999999</v>
      </c>
      <c r="F194" s="1" t="str">
        <f>_xlfn.XLOOKUP(B194,Mapping!A:A,Mapping!B:B)</f>
        <v>Employee Benefits</v>
      </c>
      <c r="G194" s="1" t="str">
        <f>_xlfn.XLOOKUP(B194,Mapping!A:A,Mapping!C:C)</f>
        <v>Personnel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</row>
    <row r="195" spans="1:500">
      <c r="A195" s="3">
        <v>46203</v>
      </c>
      <c r="B195" s="1">
        <v>6000</v>
      </c>
      <c r="C195" s="1" t="s">
        <v>26</v>
      </c>
      <c r="D195" s="1" t="s">
        <v>27</v>
      </c>
      <c r="E195" s="1">
        <v>-9114.1200000000008</v>
      </c>
      <c r="F195" s="1" t="str">
        <f>_xlfn.XLOOKUP(B195,Mapping!A:A,Mapping!B:B)</f>
        <v xml:space="preserve">Rent </v>
      </c>
      <c r="G195" s="1" t="str">
        <f>_xlfn.XLOOKUP(B195,Mapping!A:A,Mapping!C:C)</f>
        <v>Other OPEX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</row>
    <row r="196" spans="1:500">
      <c r="A196" s="3">
        <v>46203</v>
      </c>
      <c r="B196" s="1">
        <v>6100</v>
      </c>
      <c r="C196" s="1" t="s">
        <v>26</v>
      </c>
      <c r="D196" s="1" t="s">
        <v>27</v>
      </c>
      <c r="E196" s="1">
        <v>-7441.63</v>
      </c>
      <c r="F196" s="1" t="str">
        <f>_xlfn.XLOOKUP(B196,Mapping!A:A,Mapping!B:B)</f>
        <v>IT &amp; Software</v>
      </c>
      <c r="G196" s="1" t="str">
        <f>_xlfn.XLOOKUP(B196,Mapping!A:A,Mapping!C:C)</f>
        <v>Other OPEX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</row>
    <row r="197" spans="1:500">
      <c r="A197" s="3">
        <v>46203</v>
      </c>
      <c r="B197" s="1">
        <v>6200</v>
      </c>
      <c r="C197" s="1" t="s">
        <v>26</v>
      </c>
      <c r="D197" s="1" t="s">
        <v>27</v>
      </c>
      <c r="E197" s="1">
        <v>-5693.98</v>
      </c>
      <c r="F197" s="1" t="str">
        <f>_xlfn.XLOOKUP(B197,Mapping!A:A,Mapping!B:B)</f>
        <v>Marketing</v>
      </c>
      <c r="G197" s="1" t="str">
        <f>_xlfn.XLOOKUP(B197,Mapping!A:A,Mapping!C:C)</f>
        <v>Other OPEX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</row>
    <row r="198" spans="1:500">
      <c r="A198" s="3">
        <v>46203</v>
      </c>
      <c r="B198" s="1">
        <v>6300</v>
      </c>
      <c r="C198" s="1" t="s">
        <v>26</v>
      </c>
      <c r="D198" s="1" t="s">
        <v>27</v>
      </c>
      <c r="E198" s="1">
        <v>-3548.56</v>
      </c>
      <c r="F198" s="1" t="str">
        <f>_xlfn.XLOOKUP(B198,Mapping!A:A,Mapping!B:B)</f>
        <v>Travel</v>
      </c>
      <c r="G198" s="1" t="str">
        <f>_xlfn.XLOOKUP(B198,Mapping!A:A,Mapping!C:C)</f>
        <v>Other OPEX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</row>
    <row r="199" spans="1:500">
      <c r="A199" s="3">
        <v>46203</v>
      </c>
      <c r="B199" s="1">
        <v>6400</v>
      </c>
      <c r="C199" s="1" t="s">
        <v>26</v>
      </c>
      <c r="D199" s="1" t="s">
        <v>27</v>
      </c>
      <c r="E199" s="1">
        <v>-4810.75</v>
      </c>
      <c r="F199" s="1" t="str">
        <f>_xlfn.XLOOKUP(B199,Mapping!A:A,Mapping!B:B)</f>
        <v>Professional Services</v>
      </c>
      <c r="G199" s="1" t="str">
        <f>_xlfn.XLOOKUP(B199,Mapping!A:A,Mapping!C:C)</f>
        <v>Other OPEX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5F38-F0DE-4829-9056-8D69F2EF4DDB}">
  <dimension ref="A1:I397"/>
  <sheetViews>
    <sheetView workbookViewId="0">
      <selection activeCell="I4" sqref="I4"/>
    </sheetView>
  </sheetViews>
  <sheetFormatPr defaultRowHeight="15"/>
  <cols>
    <col min="1" max="1" width="7.28515625" customWidth="1"/>
    <col min="2" max="2" width="10.28515625" customWidth="1"/>
    <col min="3" max="3" width="13.7109375" customWidth="1"/>
    <col min="4" max="4" width="15.140625" customWidth="1"/>
    <col min="5" max="5" width="17" customWidth="1"/>
    <col min="6" max="6" width="14.28515625" customWidth="1"/>
    <col min="7" max="7" width="13.7109375" customWidth="1"/>
  </cols>
  <sheetData>
    <row r="1" spans="1:9">
      <c r="A1" t="s">
        <v>18</v>
      </c>
      <c r="B1" t="s">
        <v>0</v>
      </c>
      <c r="C1" t="s">
        <v>19</v>
      </c>
      <c r="D1" t="s">
        <v>20</v>
      </c>
      <c r="E1" t="s">
        <v>28</v>
      </c>
      <c r="F1" t="s">
        <v>1</v>
      </c>
      <c r="G1" t="s">
        <v>2</v>
      </c>
    </row>
    <row r="2" spans="1:9">
      <c r="A2" s="1">
        <v>46053</v>
      </c>
      <c r="B2" s="1">
        <v>3000</v>
      </c>
      <c r="C2" s="1" t="s">
        <v>22</v>
      </c>
      <c r="D2" s="1" t="s">
        <v>23</v>
      </c>
      <c r="E2" s="1">
        <v>288453.75</v>
      </c>
      <c r="F2" s="1" t="str">
        <f>_xlfn.XLOOKUP(B2,Mapping!A:A,Mapping!B:B)</f>
        <v>Product Sales</v>
      </c>
      <c r="G2" s="1" t="str">
        <f>_xlfn.XLOOKUP(B2,Mapping!A:A,Mapping!C:C)</f>
        <v>Revenue</v>
      </c>
    </row>
    <row r="3" spans="1:9">
      <c r="A3" s="1">
        <v>46053</v>
      </c>
      <c r="B3" s="1">
        <v>3100</v>
      </c>
      <c r="C3" s="1" t="s">
        <v>22</v>
      </c>
      <c r="D3" s="1" t="s">
        <v>23</v>
      </c>
      <c r="E3" s="1">
        <v>79950</v>
      </c>
      <c r="F3" s="1" t="str">
        <f>_xlfn.XLOOKUP(B3,Mapping!A:A,Mapping!B:B)</f>
        <v>Service Revenue</v>
      </c>
      <c r="G3" s="1" t="str">
        <f>_xlfn.XLOOKUP(B3,Mapping!A:A,Mapping!C:C)</f>
        <v>Revenue</v>
      </c>
      <c r="I3">
        <f>LEN(Budget!G2)</f>
        <v>7</v>
      </c>
    </row>
    <row r="4" spans="1:9">
      <c r="A4" s="1">
        <v>46053</v>
      </c>
      <c r="B4" s="1">
        <v>4000</v>
      </c>
      <c r="C4" s="1" t="s">
        <v>22</v>
      </c>
      <c r="D4" s="1" t="s">
        <v>23</v>
      </c>
      <c r="E4" s="1">
        <v>-124527</v>
      </c>
      <c r="F4" s="1" t="str">
        <f>_xlfn.XLOOKUP(B4,Mapping!A:A,Mapping!B:B)</f>
        <v>Materials</v>
      </c>
      <c r="G4" s="1" t="str">
        <f>_xlfn.XLOOKUP(B4,Mapping!A:A,Mapping!C:C)</f>
        <v>COGS</v>
      </c>
    </row>
    <row r="5" spans="1:9">
      <c r="A5" s="1">
        <v>46053</v>
      </c>
      <c r="B5" s="1">
        <v>4100</v>
      </c>
      <c r="C5" s="1" t="s">
        <v>22</v>
      </c>
      <c r="D5" s="1" t="s">
        <v>23</v>
      </c>
      <c r="E5" s="1">
        <v>-25096.5</v>
      </c>
      <c r="F5" s="1" t="str">
        <f>_xlfn.XLOOKUP(B5,Mapping!A:A,Mapping!B:B)</f>
        <v>Freight &amp; Logistics</v>
      </c>
      <c r="G5" s="1" t="str">
        <f>_xlfn.XLOOKUP(B5,Mapping!A:A,Mapping!C:C)</f>
        <v>COGS</v>
      </c>
    </row>
    <row r="6" spans="1:9">
      <c r="A6" s="1">
        <v>46053</v>
      </c>
      <c r="B6" s="1">
        <v>5000</v>
      </c>
      <c r="C6" s="1" t="s">
        <v>22</v>
      </c>
      <c r="D6" s="1" t="s">
        <v>23</v>
      </c>
      <c r="E6" s="1">
        <v>-69615</v>
      </c>
      <c r="F6" s="1" t="str">
        <f>_xlfn.XLOOKUP(B6,Mapping!A:A,Mapping!B:B)</f>
        <v>Salaries</v>
      </c>
      <c r="G6" s="1" t="str">
        <f>_xlfn.XLOOKUP(B6,Mapping!A:A,Mapping!C:C)</f>
        <v>Personnel</v>
      </c>
    </row>
    <row r="7" spans="1:9">
      <c r="A7" s="1">
        <v>46053</v>
      </c>
      <c r="B7" s="1">
        <v>5100</v>
      </c>
      <c r="C7" s="1" t="s">
        <v>22</v>
      </c>
      <c r="D7" s="1" t="s">
        <v>23</v>
      </c>
      <c r="E7" s="1">
        <v>-14810.25</v>
      </c>
      <c r="F7" s="1" t="str">
        <f>_xlfn.XLOOKUP(B7,Mapping!A:A,Mapping!B:B)</f>
        <v>Employee Benefits</v>
      </c>
      <c r="G7" s="1" t="str">
        <f>_xlfn.XLOOKUP(B7,Mapping!A:A,Mapping!C:C)</f>
        <v>Personnel</v>
      </c>
    </row>
    <row r="8" spans="1:9">
      <c r="A8" s="1">
        <v>46053</v>
      </c>
      <c r="B8" s="1">
        <v>6000</v>
      </c>
      <c r="C8" s="1" t="s">
        <v>22</v>
      </c>
      <c r="D8" s="1" t="s">
        <v>23</v>
      </c>
      <c r="E8" s="1">
        <v>-14771.25</v>
      </c>
      <c r="F8" s="1" t="str">
        <f>_xlfn.XLOOKUP(B8,Mapping!A:A,Mapping!B:B)</f>
        <v xml:space="preserve">Rent </v>
      </c>
      <c r="G8" s="1" t="str">
        <f>_xlfn.XLOOKUP(B8,Mapping!A:A,Mapping!C:C)</f>
        <v>Other OPEX</v>
      </c>
    </row>
    <row r="9" spans="1:9">
      <c r="A9" s="1">
        <v>46053</v>
      </c>
      <c r="B9" s="1">
        <v>6100</v>
      </c>
      <c r="C9" s="1" t="s">
        <v>22</v>
      </c>
      <c r="D9" s="1" t="s">
        <v>23</v>
      </c>
      <c r="E9" s="1">
        <v>-10876.12</v>
      </c>
      <c r="F9" s="1" t="str">
        <f>_xlfn.XLOOKUP(B9,Mapping!A:A,Mapping!B:B)</f>
        <v>IT &amp; Software</v>
      </c>
      <c r="G9" s="1" t="str">
        <f>_xlfn.XLOOKUP(B9,Mapping!A:A,Mapping!C:C)</f>
        <v>Other OPEX</v>
      </c>
    </row>
    <row r="10" spans="1:9">
      <c r="A10" s="1">
        <v>46053</v>
      </c>
      <c r="B10" s="1">
        <v>6200</v>
      </c>
      <c r="C10" s="1" t="s">
        <v>22</v>
      </c>
      <c r="D10" s="1" t="s">
        <v>23</v>
      </c>
      <c r="E10" s="1">
        <v>-9262.5</v>
      </c>
      <c r="F10" s="1" t="str">
        <f>_xlfn.XLOOKUP(B10,Mapping!A:A,Mapping!B:B)</f>
        <v>Marketing</v>
      </c>
      <c r="G10" s="1" t="str">
        <f>_xlfn.XLOOKUP(B10,Mapping!A:A,Mapping!C:C)</f>
        <v>Other OPEX</v>
      </c>
    </row>
    <row r="11" spans="1:9">
      <c r="A11" s="1">
        <v>46053</v>
      </c>
      <c r="B11" s="1">
        <v>6300</v>
      </c>
      <c r="C11" s="1" t="s">
        <v>22</v>
      </c>
      <c r="D11" s="1" t="s">
        <v>23</v>
      </c>
      <c r="E11" s="1">
        <v>-5222.1000000000004</v>
      </c>
      <c r="F11" s="1" t="str">
        <f>_xlfn.XLOOKUP(B11,Mapping!A:A,Mapping!B:B)</f>
        <v>Travel</v>
      </c>
      <c r="G11" s="1" t="str">
        <f>_xlfn.XLOOKUP(B11,Mapping!A:A,Mapping!C:C)</f>
        <v>Other OPEX</v>
      </c>
    </row>
    <row r="12" spans="1:9">
      <c r="A12" s="1">
        <v>46053</v>
      </c>
      <c r="B12" s="1">
        <v>6400</v>
      </c>
      <c r="C12" s="1" t="s">
        <v>22</v>
      </c>
      <c r="D12" s="1" t="s">
        <v>23</v>
      </c>
      <c r="E12" s="1">
        <v>-7528.95</v>
      </c>
      <c r="F12" s="1" t="str">
        <f>_xlfn.XLOOKUP(B12,Mapping!A:A,Mapping!B:B)</f>
        <v>Professional Services</v>
      </c>
      <c r="G12" s="1" t="str">
        <f>_xlfn.XLOOKUP(B12,Mapping!A:A,Mapping!C:C)</f>
        <v>Other OPEX</v>
      </c>
    </row>
    <row r="13" spans="1:9">
      <c r="A13" s="1">
        <v>46053</v>
      </c>
      <c r="B13" s="1">
        <v>3000</v>
      </c>
      <c r="C13" s="1" t="s">
        <v>24</v>
      </c>
      <c r="D13" s="1" t="s">
        <v>25</v>
      </c>
      <c r="E13" s="1">
        <v>246285.98</v>
      </c>
      <c r="F13" s="1" t="str">
        <f>_xlfn.XLOOKUP(B13,Mapping!A:A,Mapping!B:B)</f>
        <v>Product Sales</v>
      </c>
      <c r="G13" s="1" t="str">
        <f>_xlfn.XLOOKUP(B13,Mapping!A:A,Mapping!C:C)</f>
        <v>Revenue</v>
      </c>
    </row>
    <row r="14" spans="1:9">
      <c r="A14" s="1">
        <v>46053</v>
      </c>
      <c r="B14" s="1">
        <v>3100</v>
      </c>
      <c r="C14" s="1" t="s">
        <v>24</v>
      </c>
      <c r="D14" s="1" t="s">
        <v>25</v>
      </c>
      <c r="E14" s="1">
        <v>63592.23</v>
      </c>
      <c r="F14" s="1" t="str">
        <f>_xlfn.XLOOKUP(B14,Mapping!A:A,Mapping!B:B)</f>
        <v>Service Revenue</v>
      </c>
      <c r="G14" s="1" t="str">
        <f>_xlfn.XLOOKUP(B14,Mapping!A:A,Mapping!C:C)</f>
        <v>Revenue</v>
      </c>
    </row>
    <row r="15" spans="1:9">
      <c r="A15" s="1">
        <v>46053</v>
      </c>
      <c r="B15" s="1">
        <v>4000</v>
      </c>
      <c r="C15" s="1" t="s">
        <v>24</v>
      </c>
      <c r="D15" s="1" t="s">
        <v>25</v>
      </c>
      <c r="E15" s="1">
        <v>-99138</v>
      </c>
      <c r="F15" s="1" t="str">
        <f>_xlfn.XLOOKUP(B15,Mapping!A:A,Mapping!B:B)</f>
        <v>Materials</v>
      </c>
      <c r="G15" s="1" t="str">
        <f>_xlfn.XLOOKUP(B15,Mapping!A:A,Mapping!C:C)</f>
        <v>COGS</v>
      </c>
    </row>
    <row r="16" spans="1:9">
      <c r="A16" s="1">
        <v>46053</v>
      </c>
      <c r="B16" s="1">
        <v>4100</v>
      </c>
      <c r="C16" s="1" t="s">
        <v>24</v>
      </c>
      <c r="D16" s="1" t="s">
        <v>25</v>
      </c>
      <c r="E16" s="1">
        <v>-21410.61</v>
      </c>
      <c r="F16" s="1" t="str">
        <f>_xlfn.XLOOKUP(B16,Mapping!A:A,Mapping!B:B)</f>
        <v>Freight &amp; Logistics</v>
      </c>
      <c r="G16" s="1" t="str">
        <f>_xlfn.XLOOKUP(B16,Mapping!A:A,Mapping!C:C)</f>
        <v>COGS</v>
      </c>
    </row>
    <row r="17" spans="1:7">
      <c r="A17" s="1">
        <v>46053</v>
      </c>
      <c r="B17" s="1">
        <v>5000</v>
      </c>
      <c r="C17" s="1" t="s">
        <v>24</v>
      </c>
      <c r="D17" s="1" t="s">
        <v>25</v>
      </c>
      <c r="E17" s="1">
        <v>-55405.35</v>
      </c>
      <c r="F17" s="1" t="str">
        <f>_xlfn.XLOOKUP(B17,Mapping!A:A,Mapping!B:B)</f>
        <v>Salaries</v>
      </c>
      <c r="G17" s="1" t="str">
        <f>_xlfn.XLOOKUP(B17,Mapping!A:A,Mapping!C:C)</f>
        <v>Personnel</v>
      </c>
    </row>
    <row r="18" spans="1:7">
      <c r="A18" s="1">
        <v>46053</v>
      </c>
      <c r="B18" s="1">
        <v>5100</v>
      </c>
      <c r="C18" s="1" t="s">
        <v>24</v>
      </c>
      <c r="D18" s="1" t="s">
        <v>25</v>
      </c>
      <c r="E18" s="1">
        <v>-12640.09</v>
      </c>
      <c r="F18" s="1" t="str">
        <f>_xlfn.XLOOKUP(B18,Mapping!A:A,Mapping!B:B)</f>
        <v>Employee Benefits</v>
      </c>
      <c r="G18" s="1" t="str">
        <f>_xlfn.XLOOKUP(B18,Mapping!A:A,Mapping!C:C)</f>
        <v>Personnel</v>
      </c>
    </row>
    <row r="19" spans="1:7">
      <c r="A19" s="1">
        <v>46053</v>
      </c>
      <c r="B19" s="1">
        <v>6000</v>
      </c>
      <c r="C19" s="1" t="s">
        <v>24</v>
      </c>
      <c r="D19" s="1" t="s">
        <v>25</v>
      </c>
      <c r="E19" s="1">
        <v>-11752.65</v>
      </c>
      <c r="F19" s="1" t="str">
        <f>_xlfn.XLOOKUP(B19,Mapping!A:A,Mapping!B:B)</f>
        <v xml:space="preserve">Rent </v>
      </c>
      <c r="G19" s="1" t="str">
        <f>_xlfn.XLOOKUP(B19,Mapping!A:A,Mapping!C:C)</f>
        <v>Other OPEX</v>
      </c>
    </row>
    <row r="20" spans="1:7">
      <c r="A20" s="1">
        <v>46053</v>
      </c>
      <c r="B20" s="1">
        <v>6100</v>
      </c>
      <c r="C20" s="1" t="s">
        <v>24</v>
      </c>
      <c r="D20" s="1" t="s">
        <v>25</v>
      </c>
      <c r="E20" s="1">
        <v>-9286.19</v>
      </c>
      <c r="F20" s="1" t="str">
        <f>_xlfn.XLOOKUP(B20,Mapping!A:A,Mapping!B:B)</f>
        <v>IT &amp; Software</v>
      </c>
      <c r="G20" s="1" t="str">
        <f>_xlfn.XLOOKUP(B20,Mapping!A:A,Mapping!C:C)</f>
        <v>Other OPEX</v>
      </c>
    </row>
    <row r="21" spans="1:7">
      <c r="A21" s="1">
        <v>46053</v>
      </c>
      <c r="B21" s="1">
        <v>6200</v>
      </c>
      <c r="C21" s="1" t="s">
        <v>24</v>
      </c>
      <c r="D21" s="1" t="s">
        <v>25</v>
      </c>
      <c r="E21" s="1">
        <v>-7367.39</v>
      </c>
      <c r="F21" s="1" t="str">
        <f>_xlfn.XLOOKUP(B21,Mapping!A:A,Mapping!B:B)</f>
        <v>Marketing</v>
      </c>
      <c r="G21" s="1" t="str">
        <f>_xlfn.XLOOKUP(B21,Mapping!A:A,Mapping!C:C)</f>
        <v>Other OPEX</v>
      </c>
    </row>
    <row r="22" spans="1:7">
      <c r="A22" s="1">
        <v>46053</v>
      </c>
      <c r="B22" s="1">
        <v>6300</v>
      </c>
      <c r="C22" s="1" t="s">
        <v>24</v>
      </c>
      <c r="D22" s="1" t="s">
        <v>25</v>
      </c>
      <c r="E22" s="1">
        <v>-4157.3999999999996</v>
      </c>
      <c r="F22" s="1" t="str">
        <f>_xlfn.XLOOKUP(B22,Mapping!A:A,Mapping!B:B)</f>
        <v>Travel</v>
      </c>
      <c r="G22" s="1" t="str">
        <f>_xlfn.XLOOKUP(B22,Mapping!A:A,Mapping!C:C)</f>
        <v>Other OPEX</v>
      </c>
    </row>
    <row r="23" spans="1:7">
      <c r="A23" s="1">
        <v>46053</v>
      </c>
      <c r="B23" s="1">
        <v>6400</v>
      </c>
      <c r="C23" s="1" t="s">
        <v>24</v>
      </c>
      <c r="D23" s="1" t="s">
        <v>25</v>
      </c>
      <c r="E23" s="1">
        <v>-6423.18</v>
      </c>
      <c r="F23" s="1" t="str">
        <f>_xlfn.XLOOKUP(B23,Mapping!A:A,Mapping!B:B)</f>
        <v>Professional Services</v>
      </c>
      <c r="G23" s="1" t="str">
        <f>_xlfn.XLOOKUP(B23,Mapping!A:A,Mapping!C:C)</f>
        <v>Other OPEX</v>
      </c>
    </row>
    <row r="24" spans="1:7">
      <c r="A24" s="1">
        <v>46053</v>
      </c>
      <c r="B24" s="1">
        <v>3000</v>
      </c>
      <c r="C24" s="1" t="s">
        <v>26</v>
      </c>
      <c r="D24" s="1" t="s">
        <v>27</v>
      </c>
      <c r="E24" s="1">
        <v>169027.95</v>
      </c>
      <c r="F24" s="1" t="str">
        <f>_xlfn.XLOOKUP(B24,Mapping!A:A,Mapping!B:B)</f>
        <v>Product Sales</v>
      </c>
      <c r="G24" s="1" t="str">
        <f>_xlfn.XLOOKUP(B24,Mapping!A:A,Mapping!C:C)</f>
        <v>Revenue</v>
      </c>
    </row>
    <row r="25" spans="1:7">
      <c r="A25" s="1">
        <v>46053</v>
      </c>
      <c r="B25" s="1">
        <v>3100</v>
      </c>
      <c r="C25" s="1" t="s">
        <v>26</v>
      </c>
      <c r="D25" s="1" t="s">
        <v>27</v>
      </c>
      <c r="E25" s="1">
        <v>46834.71</v>
      </c>
      <c r="F25" s="1" t="str">
        <f>_xlfn.XLOOKUP(B25,Mapping!A:A,Mapping!B:B)</f>
        <v>Service Revenue</v>
      </c>
      <c r="G25" s="1" t="str">
        <f>_xlfn.XLOOKUP(B25,Mapping!A:A,Mapping!C:C)</f>
        <v>Revenue</v>
      </c>
    </row>
    <row r="26" spans="1:7">
      <c r="A26" s="1">
        <v>46053</v>
      </c>
      <c r="B26" s="1">
        <v>4000</v>
      </c>
      <c r="C26" s="1" t="s">
        <v>26</v>
      </c>
      <c r="D26" s="1" t="s">
        <v>27</v>
      </c>
      <c r="E26" s="1">
        <v>-68018.34</v>
      </c>
      <c r="F26" s="1" t="str">
        <f>_xlfn.XLOOKUP(B26,Mapping!A:A,Mapping!B:B)</f>
        <v>Materials</v>
      </c>
      <c r="G26" s="1" t="str">
        <f>_xlfn.XLOOKUP(B26,Mapping!A:A,Mapping!C:C)</f>
        <v>COGS</v>
      </c>
    </row>
    <row r="27" spans="1:7">
      <c r="A27" s="1">
        <v>46053</v>
      </c>
      <c r="B27" s="1">
        <v>4100</v>
      </c>
      <c r="C27" s="1" t="s">
        <v>26</v>
      </c>
      <c r="D27" s="1" t="s">
        <v>27</v>
      </c>
      <c r="E27" s="1">
        <v>-14703</v>
      </c>
      <c r="F27" s="1" t="str">
        <f>_xlfn.XLOOKUP(B27,Mapping!A:A,Mapping!B:B)</f>
        <v>Freight &amp; Logistics</v>
      </c>
      <c r="G27" s="1" t="str">
        <f>_xlfn.XLOOKUP(B27,Mapping!A:A,Mapping!C:C)</f>
        <v>COGS</v>
      </c>
    </row>
    <row r="28" spans="1:7">
      <c r="A28" s="1">
        <v>46053</v>
      </c>
      <c r="B28" s="1">
        <v>5000</v>
      </c>
      <c r="C28" s="1" t="s">
        <v>26</v>
      </c>
      <c r="D28" s="1" t="s">
        <v>27</v>
      </c>
      <c r="E28" s="1">
        <v>-40772.550000000003</v>
      </c>
      <c r="F28" s="1" t="str">
        <f>_xlfn.XLOOKUP(B28,Mapping!A:A,Mapping!B:B)</f>
        <v>Salaries</v>
      </c>
      <c r="G28" s="1" t="str">
        <f>_xlfn.XLOOKUP(B28,Mapping!A:A,Mapping!C:C)</f>
        <v>Personnel</v>
      </c>
    </row>
    <row r="29" spans="1:7">
      <c r="A29" s="1">
        <v>46053</v>
      </c>
      <c r="B29" s="1">
        <v>5100</v>
      </c>
      <c r="C29" s="1" t="s">
        <v>26</v>
      </c>
      <c r="D29" s="1" t="s">
        <v>27</v>
      </c>
      <c r="E29" s="1">
        <v>-8677.6</v>
      </c>
      <c r="F29" s="1" t="str">
        <f>_xlfn.XLOOKUP(B29,Mapping!A:A,Mapping!B:B)</f>
        <v>Employee Benefits</v>
      </c>
      <c r="G29" s="1" t="str">
        <f>_xlfn.XLOOKUP(B29,Mapping!A:A,Mapping!C:C)</f>
        <v>Personnel</v>
      </c>
    </row>
    <row r="30" spans="1:7">
      <c r="A30" s="1">
        <v>46053</v>
      </c>
      <c r="B30" s="1">
        <v>6000</v>
      </c>
      <c r="C30" s="1" t="s">
        <v>26</v>
      </c>
      <c r="D30" s="1" t="s">
        <v>27</v>
      </c>
      <c r="E30" s="1">
        <v>-8652.15</v>
      </c>
      <c r="F30" s="1" t="str">
        <f>_xlfn.XLOOKUP(B30,Mapping!A:A,Mapping!B:B)</f>
        <v xml:space="preserve">Rent </v>
      </c>
      <c r="G30" s="1" t="str">
        <f>_xlfn.XLOOKUP(B30,Mapping!A:A,Mapping!C:C)</f>
        <v>Other OPEX</v>
      </c>
    </row>
    <row r="31" spans="1:7">
      <c r="A31" s="1">
        <v>46053</v>
      </c>
      <c r="B31" s="1">
        <v>6100</v>
      </c>
      <c r="C31" s="1" t="s">
        <v>26</v>
      </c>
      <c r="D31" s="1" t="s">
        <v>27</v>
      </c>
      <c r="E31" s="1">
        <v>-6373.18</v>
      </c>
      <c r="F31" s="1" t="str">
        <f>_xlfn.XLOOKUP(B31,Mapping!A:A,Mapping!B:B)</f>
        <v>IT &amp; Software</v>
      </c>
      <c r="G31" s="1" t="str">
        <f>_xlfn.XLOOKUP(B31,Mapping!A:A,Mapping!C:C)</f>
        <v>Other OPEX</v>
      </c>
    </row>
    <row r="32" spans="1:7">
      <c r="A32" s="1">
        <v>46053</v>
      </c>
      <c r="B32" s="1">
        <v>6200</v>
      </c>
      <c r="C32" s="1" t="s">
        <v>26</v>
      </c>
      <c r="D32" s="1" t="s">
        <v>27</v>
      </c>
      <c r="E32" s="1">
        <v>-5425.97</v>
      </c>
      <c r="F32" s="1" t="str">
        <f>_xlfn.XLOOKUP(B32,Mapping!A:A,Mapping!B:B)</f>
        <v>Marketing</v>
      </c>
      <c r="G32" s="1" t="str">
        <f>_xlfn.XLOOKUP(B32,Mapping!A:A,Mapping!C:C)</f>
        <v>Other OPEX</v>
      </c>
    </row>
    <row r="33" spans="1:7">
      <c r="A33" s="1">
        <v>46053</v>
      </c>
      <c r="B33" s="1">
        <v>6300</v>
      </c>
      <c r="C33" s="1" t="s">
        <v>26</v>
      </c>
      <c r="D33" s="1" t="s">
        <v>27</v>
      </c>
      <c r="E33" s="1">
        <v>-2852.38</v>
      </c>
      <c r="F33" s="1" t="str">
        <f>_xlfn.XLOOKUP(B33,Mapping!A:A,Mapping!B:B)</f>
        <v>Travel</v>
      </c>
      <c r="G33" s="1" t="str">
        <f>_xlfn.XLOOKUP(B33,Mapping!A:A,Mapping!C:C)</f>
        <v>Other OPEX</v>
      </c>
    </row>
    <row r="34" spans="1:7">
      <c r="A34" s="1">
        <v>46053</v>
      </c>
      <c r="B34" s="1">
        <v>6400</v>
      </c>
      <c r="C34" s="1" t="s">
        <v>26</v>
      </c>
      <c r="D34" s="1" t="s">
        <v>27</v>
      </c>
      <c r="E34" s="1">
        <v>-4410.8999999999996</v>
      </c>
      <c r="F34" s="1" t="str">
        <f>_xlfn.XLOOKUP(B34,Mapping!A:A,Mapping!B:B)</f>
        <v>Professional Services</v>
      </c>
      <c r="G34" s="1" t="str">
        <f>_xlfn.XLOOKUP(B34,Mapping!A:A,Mapping!C:C)</f>
        <v>Other OPEX</v>
      </c>
    </row>
    <row r="35" spans="1:7">
      <c r="A35" s="1">
        <v>46081</v>
      </c>
      <c r="B35" s="1">
        <v>3000</v>
      </c>
      <c r="C35" s="1" t="s">
        <v>22</v>
      </c>
      <c r="D35" s="1" t="s">
        <v>23</v>
      </c>
      <c r="E35" s="1">
        <v>298930.5</v>
      </c>
      <c r="F35" s="1" t="str">
        <f>_xlfn.XLOOKUP(B35,Mapping!A:A,Mapping!B:B)</f>
        <v>Product Sales</v>
      </c>
      <c r="G35" s="1" t="str">
        <f>_xlfn.XLOOKUP(B35,Mapping!A:A,Mapping!C:C)</f>
        <v>Revenue</v>
      </c>
    </row>
    <row r="36" spans="1:7">
      <c r="A36" s="1">
        <v>46081</v>
      </c>
      <c r="B36" s="1">
        <v>3100</v>
      </c>
      <c r="C36" s="1" t="s">
        <v>22</v>
      </c>
      <c r="D36" s="1" t="s">
        <v>23</v>
      </c>
      <c r="E36" s="1">
        <v>82803.600000000006</v>
      </c>
      <c r="F36" s="1" t="str">
        <f>_xlfn.XLOOKUP(B36,Mapping!A:A,Mapping!B:B)</f>
        <v>Service Revenue</v>
      </c>
      <c r="G36" s="1" t="str">
        <f>_xlfn.XLOOKUP(B36,Mapping!A:A,Mapping!C:C)</f>
        <v>Revenue</v>
      </c>
    </row>
    <row r="37" spans="1:7">
      <c r="A37" s="1">
        <v>46081</v>
      </c>
      <c r="B37" s="1">
        <v>4000</v>
      </c>
      <c r="C37" s="1" t="s">
        <v>22</v>
      </c>
      <c r="D37" s="1" t="s">
        <v>23</v>
      </c>
      <c r="E37" s="1">
        <v>-120304.8</v>
      </c>
      <c r="F37" s="1" t="str">
        <f>_xlfn.XLOOKUP(B37,Mapping!A:A,Mapping!B:B)</f>
        <v>Materials</v>
      </c>
      <c r="G37" s="1" t="str">
        <f>_xlfn.XLOOKUP(B37,Mapping!A:A,Mapping!C:C)</f>
        <v>COGS</v>
      </c>
    </row>
    <row r="38" spans="1:7">
      <c r="A38" s="1">
        <v>46081</v>
      </c>
      <c r="B38" s="1">
        <v>4100</v>
      </c>
      <c r="C38" s="1" t="s">
        <v>22</v>
      </c>
      <c r="D38" s="1" t="s">
        <v>23</v>
      </c>
      <c r="E38" s="1">
        <v>-25997.4</v>
      </c>
      <c r="F38" s="1" t="str">
        <f>_xlfn.XLOOKUP(B38,Mapping!A:A,Mapping!B:B)</f>
        <v>Freight &amp; Logistics</v>
      </c>
      <c r="G38" s="1" t="str">
        <f>_xlfn.XLOOKUP(B38,Mapping!A:A,Mapping!C:C)</f>
        <v>COGS</v>
      </c>
    </row>
    <row r="39" spans="1:7">
      <c r="A39" s="1">
        <v>46081</v>
      </c>
      <c r="B39" s="1">
        <v>5000</v>
      </c>
      <c r="C39" s="1" t="s">
        <v>22</v>
      </c>
      <c r="D39" s="1" t="s">
        <v>23</v>
      </c>
      <c r="E39" s="1">
        <v>-67221</v>
      </c>
      <c r="F39" s="1" t="str">
        <f>_xlfn.XLOOKUP(B39,Mapping!A:A,Mapping!B:B)</f>
        <v>Salaries</v>
      </c>
      <c r="G39" s="1" t="str">
        <f>_xlfn.XLOOKUP(B39,Mapping!A:A,Mapping!C:C)</f>
        <v>Personnel</v>
      </c>
    </row>
    <row r="40" spans="1:7">
      <c r="A40" s="1">
        <v>46081</v>
      </c>
      <c r="B40" s="1">
        <v>5100</v>
      </c>
      <c r="C40" s="1" t="s">
        <v>22</v>
      </c>
      <c r="D40" s="1" t="s">
        <v>23</v>
      </c>
      <c r="E40" s="1">
        <v>-15345</v>
      </c>
      <c r="F40" s="1" t="str">
        <f>_xlfn.XLOOKUP(B40,Mapping!A:A,Mapping!B:B)</f>
        <v>Employee Benefits</v>
      </c>
      <c r="G40" s="1" t="str">
        <f>_xlfn.XLOOKUP(B40,Mapping!A:A,Mapping!C:C)</f>
        <v>Personnel</v>
      </c>
    </row>
    <row r="41" spans="1:7">
      <c r="A41" s="1">
        <v>46081</v>
      </c>
      <c r="B41" s="1">
        <v>6000</v>
      </c>
      <c r="C41" s="1" t="s">
        <v>22</v>
      </c>
      <c r="D41" s="1" t="s">
        <v>23</v>
      </c>
      <c r="E41" s="1">
        <v>-15295.5</v>
      </c>
      <c r="F41" s="1" t="str">
        <f>_xlfn.XLOOKUP(B41,Mapping!A:A,Mapping!B:B)</f>
        <v xml:space="preserve">Rent </v>
      </c>
      <c r="G41" s="1" t="str">
        <f>_xlfn.XLOOKUP(B41,Mapping!A:A,Mapping!C:C)</f>
        <v>Other OPEX</v>
      </c>
    </row>
    <row r="42" spans="1:7">
      <c r="A42" s="1">
        <v>46081</v>
      </c>
      <c r="B42" s="1">
        <v>6100</v>
      </c>
      <c r="C42" s="1" t="s">
        <v>22</v>
      </c>
      <c r="D42" s="1" t="s">
        <v>23</v>
      </c>
      <c r="E42" s="1">
        <v>-11271.15</v>
      </c>
      <c r="F42" s="1" t="str">
        <f>_xlfn.XLOOKUP(B42,Mapping!A:A,Mapping!B:B)</f>
        <v>IT &amp; Software</v>
      </c>
      <c r="G42" s="1" t="str">
        <f>_xlfn.XLOOKUP(B42,Mapping!A:A,Mapping!C:C)</f>
        <v>Other OPEX</v>
      </c>
    </row>
    <row r="43" spans="1:7">
      <c r="A43" s="1">
        <v>46081</v>
      </c>
      <c r="B43" s="1">
        <v>6200</v>
      </c>
      <c r="C43" s="1" t="s">
        <v>22</v>
      </c>
      <c r="D43" s="1" t="s">
        <v>23</v>
      </c>
      <c r="E43" s="1">
        <v>-9593.1</v>
      </c>
      <c r="F43" s="1" t="str">
        <f>_xlfn.XLOOKUP(B43,Mapping!A:A,Mapping!B:B)</f>
        <v>Marketing</v>
      </c>
      <c r="G43" s="1" t="str">
        <f>_xlfn.XLOOKUP(B43,Mapping!A:A,Mapping!C:C)</f>
        <v>Other OPEX</v>
      </c>
    </row>
    <row r="44" spans="1:7">
      <c r="A44" s="1">
        <v>46081</v>
      </c>
      <c r="B44" s="1">
        <v>6300</v>
      </c>
      <c r="C44" s="1" t="s">
        <v>22</v>
      </c>
      <c r="D44" s="1" t="s">
        <v>23</v>
      </c>
      <c r="E44" s="1">
        <v>-5045.04</v>
      </c>
      <c r="F44" s="1" t="str">
        <f>_xlfn.XLOOKUP(B44,Mapping!A:A,Mapping!B:B)</f>
        <v>Travel</v>
      </c>
      <c r="G44" s="1" t="str">
        <f>_xlfn.XLOOKUP(B44,Mapping!A:A,Mapping!C:C)</f>
        <v>Other OPEX</v>
      </c>
    </row>
    <row r="45" spans="1:7">
      <c r="A45" s="1">
        <v>46081</v>
      </c>
      <c r="B45" s="1">
        <v>6400</v>
      </c>
      <c r="C45" s="1" t="s">
        <v>22</v>
      </c>
      <c r="D45" s="1" t="s">
        <v>23</v>
      </c>
      <c r="E45" s="1">
        <v>-7799.22</v>
      </c>
      <c r="F45" s="1" t="str">
        <f>_xlfn.XLOOKUP(B45,Mapping!A:A,Mapping!B:B)</f>
        <v>Professional Services</v>
      </c>
      <c r="G45" s="1" t="str">
        <f>_xlfn.XLOOKUP(B45,Mapping!A:A,Mapping!C:C)</f>
        <v>Other OPEX</v>
      </c>
    </row>
    <row r="46" spans="1:7">
      <c r="A46" s="1">
        <v>46081</v>
      </c>
      <c r="B46" s="1">
        <v>3000</v>
      </c>
      <c r="C46" s="1" t="s">
        <v>24</v>
      </c>
      <c r="D46" s="1" t="s">
        <v>25</v>
      </c>
      <c r="E46" s="1">
        <v>255026.97</v>
      </c>
      <c r="F46" s="1" t="str">
        <f>_xlfn.XLOOKUP(B46,Mapping!A:A,Mapping!B:B)</f>
        <v>Product Sales</v>
      </c>
      <c r="G46" s="1" t="str">
        <f>_xlfn.XLOOKUP(B46,Mapping!A:A,Mapping!C:C)</f>
        <v>Revenue</v>
      </c>
    </row>
    <row r="47" spans="1:7">
      <c r="A47" s="1">
        <v>46081</v>
      </c>
      <c r="B47" s="1">
        <v>3100</v>
      </c>
      <c r="C47" s="1" t="s">
        <v>24</v>
      </c>
      <c r="D47" s="1" t="s">
        <v>25</v>
      </c>
      <c r="E47" s="1">
        <v>65901.919999999998</v>
      </c>
      <c r="F47" s="1" t="str">
        <f>_xlfn.XLOOKUP(B47,Mapping!A:A,Mapping!B:B)</f>
        <v>Service Revenue</v>
      </c>
      <c r="G47" s="1" t="str">
        <f>_xlfn.XLOOKUP(B47,Mapping!A:A,Mapping!C:C)</f>
        <v>Revenue</v>
      </c>
    </row>
    <row r="48" spans="1:7">
      <c r="A48" s="1">
        <v>46081</v>
      </c>
      <c r="B48" s="1">
        <v>4000</v>
      </c>
      <c r="C48" s="1" t="s">
        <v>24</v>
      </c>
      <c r="D48" s="1" t="s">
        <v>25</v>
      </c>
      <c r="E48" s="1">
        <v>-102676.46</v>
      </c>
      <c r="F48" s="1" t="str">
        <f>_xlfn.XLOOKUP(B48,Mapping!A:A,Mapping!B:B)</f>
        <v>Materials</v>
      </c>
      <c r="G48" s="1" t="str">
        <f>_xlfn.XLOOKUP(B48,Mapping!A:A,Mapping!C:C)</f>
        <v>COGS</v>
      </c>
    </row>
    <row r="49" spans="1:7">
      <c r="A49" s="1">
        <v>46081</v>
      </c>
      <c r="B49" s="1">
        <v>4100</v>
      </c>
      <c r="C49" s="1" t="s">
        <v>24</v>
      </c>
      <c r="D49" s="1" t="s">
        <v>25</v>
      </c>
      <c r="E49" s="1">
        <v>-20684.66</v>
      </c>
      <c r="F49" s="1" t="str">
        <f>_xlfn.XLOOKUP(B49,Mapping!A:A,Mapping!B:B)</f>
        <v>Freight &amp; Logistics</v>
      </c>
      <c r="G49" s="1" t="str">
        <f>_xlfn.XLOOKUP(B49,Mapping!A:A,Mapping!C:C)</f>
        <v>COGS</v>
      </c>
    </row>
    <row r="50" spans="1:7">
      <c r="A50" s="1">
        <v>46081</v>
      </c>
      <c r="B50" s="1">
        <v>5000</v>
      </c>
      <c r="C50" s="1" t="s">
        <v>24</v>
      </c>
      <c r="D50" s="1" t="s">
        <v>25</v>
      </c>
      <c r="E50" s="1">
        <v>-57394.26</v>
      </c>
      <c r="F50" s="1" t="str">
        <f>_xlfn.XLOOKUP(B50,Mapping!A:A,Mapping!B:B)</f>
        <v>Salaries</v>
      </c>
      <c r="G50" s="1" t="str">
        <f>_xlfn.XLOOKUP(B50,Mapping!A:A,Mapping!C:C)</f>
        <v>Personnel</v>
      </c>
    </row>
    <row r="51" spans="1:7">
      <c r="A51" s="1">
        <v>46081</v>
      </c>
      <c r="B51" s="1">
        <v>5100</v>
      </c>
      <c r="C51" s="1" t="s">
        <v>24</v>
      </c>
      <c r="D51" s="1" t="s">
        <v>25</v>
      </c>
      <c r="E51" s="1">
        <v>-12205.41</v>
      </c>
      <c r="F51" s="1" t="str">
        <f>_xlfn.XLOOKUP(B51,Mapping!A:A,Mapping!B:B)</f>
        <v>Employee Benefits</v>
      </c>
      <c r="G51" s="1" t="str">
        <f>_xlfn.XLOOKUP(B51,Mapping!A:A,Mapping!C:C)</f>
        <v>Personnel</v>
      </c>
    </row>
    <row r="52" spans="1:7">
      <c r="A52" s="1">
        <v>46081</v>
      </c>
      <c r="B52" s="1">
        <v>6000</v>
      </c>
      <c r="C52" s="1" t="s">
        <v>24</v>
      </c>
      <c r="D52" s="1" t="s">
        <v>25</v>
      </c>
      <c r="E52" s="1">
        <v>-12177</v>
      </c>
      <c r="F52" s="1" t="str">
        <f>_xlfn.XLOOKUP(B52,Mapping!A:A,Mapping!B:B)</f>
        <v xml:space="preserve">Rent </v>
      </c>
      <c r="G52" s="1" t="str">
        <f>_xlfn.XLOOKUP(B52,Mapping!A:A,Mapping!C:C)</f>
        <v>Other OPEX</v>
      </c>
    </row>
    <row r="53" spans="1:7">
      <c r="A53" s="1">
        <v>46081</v>
      </c>
      <c r="B53" s="1">
        <v>6100</v>
      </c>
      <c r="C53" s="1" t="s">
        <v>24</v>
      </c>
      <c r="D53" s="1" t="s">
        <v>25</v>
      </c>
      <c r="E53" s="1">
        <v>-9615.77</v>
      </c>
      <c r="F53" s="1" t="str">
        <f>_xlfn.XLOOKUP(B53,Mapping!A:A,Mapping!B:B)</f>
        <v>IT &amp; Software</v>
      </c>
      <c r="G53" s="1" t="str">
        <f>_xlfn.XLOOKUP(B53,Mapping!A:A,Mapping!C:C)</f>
        <v>Other OPEX</v>
      </c>
    </row>
    <row r="54" spans="1:7">
      <c r="A54" s="1">
        <v>46081</v>
      </c>
      <c r="B54" s="1">
        <v>6200</v>
      </c>
      <c r="C54" s="1" t="s">
        <v>24</v>
      </c>
      <c r="D54" s="1" t="s">
        <v>25</v>
      </c>
      <c r="E54" s="1">
        <v>-7634.98</v>
      </c>
      <c r="F54" s="1" t="str">
        <f>_xlfn.XLOOKUP(B54,Mapping!A:A,Mapping!B:B)</f>
        <v>Marketing</v>
      </c>
      <c r="G54" s="1" t="str">
        <f>_xlfn.XLOOKUP(B54,Mapping!A:A,Mapping!C:C)</f>
        <v>Other OPEX</v>
      </c>
    </row>
    <row r="55" spans="1:7">
      <c r="A55" s="1">
        <v>46081</v>
      </c>
      <c r="B55" s="1">
        <v>6300</v>
      </c>
      <c r="C55" s="1" t="s">
        <v>24</v>
      </c>
      <c r="D55" s="1" t="s">
        <v>25</v>
      </c>
      <c r="E55" s="1">
        <v>-4305.79</v>
      </c>
      <c r="F55" s="1" t="str">
        <f>_xlfn.XLOOKUP(B55,Mapping!A:A,Mapping!B:B)</f>
        <v>Travel</v>
      </c>
      <c r="G55" s="1" t="str">
        <f>_xlfn.XLOOKUP(B55,Mapping!A:A,Mapping!C:C)</f>
        <v>Other OPEX</v>
      </c>
    </row>
    <row r="56" spans="1:7">
      <c r="A56" s="1">
        <v>46081</v>
      </c>
      <c r="B56" s="1">
        <v>6400</v>
      </c>
      <c r="C56" s="1" t="s">
        <v>24</v>
      </c>
      <c r="D56" s="1" t="s">
        <v>25</v>
      </c>
      <c r="E56" s="1">
        <v>-6205.4</v>
      </c>
      <c r="F56" s="1" t="str">
        <f>_xlfn.XLOOKUP(B56,Mapping!A:A,Mapping!B:B)</f>
        <v>Professional Services</v>
      </c>
      <c r="G56" s="1" t="str">
        <f>_xlfn.XLOOKUP(B56,Mapping!A:A,Mapping!C:C)</f>
        <v>Other OPEX</v>
      </c>
    </row>
    <row r="57" spans="1:7">
      <c r="A57" s="1">
        <v>46081</v>
      </c>
      <c r="B57" s="1">
        <v>3000</v>
      </c>
      <c r="C57" s="1" t="s">
        <v>26</v>
      </c>
      <c r="D57" s="1" t="s">
        <v>27</v>
      </c>
      <c r="E57" s="1">
        <v>175131</v>
      </c>
      <c r="F57" s="1" t="str">
        <f>_xlfn.XLOOKUP(B57,Mapping!A:A,Mapping!B:B)</f>
        <v>Product Sales</v>
      </c>
      <c r="G57" s="1" t="str">
        <f>_xlfn.XLOOKUP(B57,Mapping!A:A,Mapping!C:C)</f>
        <v>Revenue</v>
      </c>
    </row>
    <row r="58" spans="1:7">
      <c r="A58" s="1">
        <v>46081</v>
      </c>
      <c r="B58" s="1">
        <v>3100</v>
      </c>
      <c r="C58" s="1" t="s">
        <v>26</v>
      </c>
      <c r="D58" s="1" t="s">
        <v>27</v>
      </c>
      <c r="E58" s="1">
        <v>48496.93</v>
      </c>
      <c r="F58" s="1" t="str">
        <f>_xlfn.XLOOKUP(B58,Mapping!A:A,Mapping!B:B)</f>
        <v>Service Revenue</v>
      </c>
      <c r="G58" s="1" t="str">
        <f>_xlfn.XLOOKUP(B58,Mapping!A:A,Mapping!C:C)</f>
        <v>Revenue</v>
      </c>
    </row>
    <row r="59" spans="1:7">
      <c r="A59" s="1">
        <v>46081</v>
      </c>
      <c r="B59" s="1">
        <v>4000</v>
      </c>
      <c r="C59" s="1" t="s">
        <v>26</v>
      </c>
      <c r="D59" s="1" t="s">
        <v>27</v>
      </c>
      <c r="E59" s="1">
        <v>-70488.789999999994</v>
      </c>
      <c r="F59" s="1" t="str">
        <f>_xlfn.XLOOKUP(B59,Mapping!A:A,Mapping!B:B)</f>
        <v>Materials</v>
      </c>
      <c r="G59" s="1" t="str">
        <f>_xlfn.XLOOKUP(B59,Mapping!A:A,Mapping!C:C)</f>
        <v>COGS</v>
      </c>
    </row>
    <row r="60" spans="1:7">
      <c r="A60" s="1">
        <v>46081</v>
      </c>
      <c r="B60" s="1">
        <v>4100</v>
      </c>
      <c r="C60" s="1" t="s">
        <v>26</v>
      </c>
      <c r="D60" s="1" t="s">
        <v>27</v>
      </c>
      <c r="E60" s="1">
        <v>-15227.78</v>
      </c>
      <c r="F60" s="1" t="str">
        <f>_xlfn.XLOOKUP(B60,Mapping!A:A,Mapping!B:B)</f>
        <v>Freight &amp; Logistics</v>
      </c>
      <c r="G60" s="1" t="str">
        <f>_xlfn.XLOOKUP(B60,Mapping!A:A,Mapping!C:C)</f>
        <v>COGS</v>
      </c>
    </row>
    <row r="61" spans="1:7">
      <c r="A61" s="1">
        <v>46081</v>
      </c>
      <c r="B61" s="1">
        <v>5000</v>
      </c>
      <c r="C61" s="1" t="s">
        <v>26</v>
      </c>
      <c r="D61" s="1" t="s">
        <v>27</v>
      </c>
      <c r="E61" s="1">
        <v>-39390.120000000003</v>
      </c>
      <c r="F61" s="1" t="str">
        <f>_xlfn.XLOOKUP(B61,Mapping!A:A,Mapping!B:B)</f>
        <v>Salaries</v>
      </c>
      <c r="G61" s="1" t="str">
        <f>_xlfn.XLOOKUP(B61,Mapping!A:A,Mapping!C:C)</f>
        <v>Personnel</v>
      </c>
    </row>
    <row r="62" spans="1:7">
      <c r="A62" s="1">
        <v>46081</v>
      </c>
      <c r="B62" s="1">
        <v>5100</v>
      </c>
      <c r="C62" s="1" t="s">
        <v>26</v>
      </c>
      <c r="D62" s="1" t="s">
        <v>27</v>
      </c>
      <c r="E62" s="1">
        <v>-8989.1</v>
      </c>
      <c r="F62" s="1" t="str">
        <f>_xlfn.XLOOKUP(B62,Mapping!A:A,Mapping!B:B)</f>
        <v>Employee Benefits</v>
      </c>
      <c r="G62" s="1" t="str">
        <f>_xlfn.XLOOKUP(B62,Mapping!A:A,Mapping!C:C)</f>
        <v>Personnel</v>
      </c>
    </row>
    <row r="63" spans="1:7">
      <c r="A63" s="1">
        <v>46081</v>
      </c>
      <c r="B63" s="1">
        <v>6000</v>
      </c>
      <c r="C63" s="1" t="s">
        <v>26</v>
      </c>
      <c r="D63" s="1" t="s">
        <v>27</v>
      </c>
      <c r="E63" s="1">
        <v>-8354.61</v>
      </c>
      <c r="F63" s="1" t="str">
        <f>_xlfn.XLOOKUP(B63,Mapping!A:A,Mapping!B:B)</f>
        <v xml:space="preserve">Rent </v>
      </c>
      <c r="G63" s="1" t="str">
        <f>_xlfn.XLOOKUP(B63,Mapping!A:A,Mapping!C:C)</f>
        <v>Other OPEX</v>
      </c>
    </row>
    <row r="64" spans="1:7">
      <c r="A64" s="1">
        <v>46081</v>
      </c>
      <c r="B64" s="1">
        <v>6100</v>
      </c>
      <c r="C64" s="1" t="s">
        <v>26</v>
      </c>
      <c r="D64" s="1" t="s">
        <v>27</v>
      </c>
      <c r="E64" s="1">
        <v>-6603.3</v>
      </c>
      <c r="F64" s="1" t="str">
        <f>_xlfn.XLOOKUP(B64,Mapping!A:A,Mapping!B:B)</f>
        <v>IT &amp; Software</v>
      </c>
      <c r="G64" s="1" t="str">
        <f>_xlfn.XLOOKUP(B64,Mapping!A:A,Mapping!C:C)</f>
        <v>Other OPEX</v>
      </c>
    </row>
    <row r="65" spans="1:7">
      <c r="A65" s="1">
        <v>46081</v>
      </c>
      <c r="B65" s="1">
        <v>6200</v>
      </c>
      <c r="C65" s="1" t="s">
        <v>26</v>
      </c>
      <c r="D65" s="1" t="s">
        <v>27</v>
      </c>
      <c r="E65" s="1">
        <v>-5618.55</v>
      </c>
      <c r="F65" s="1" t="str">
        <f>_xlfn.XLOOKUP(B65,Mapping!A:A,Mapping!B:B)</f>
        <v>Marketing</v>
      </c>
      <c r="G65" s="1" t="str">
        <f>_xlfn.XLOOKUP(B65,Mapping!A:A,Mapping!C:C)</f>
        <v>Other OPEX</v>
      </c>
    </row>
    <row r="66" spans="1:7">
      <c r="A66" s="1">
        <v>46081</v>
      </c>
      <c r="B66" s="1">
        <v>6300</v>
      </c>
      <c r="C66" s="1" t="s">
        <v>26</v>
      </c>
      <c r="D66" s="1" t="s">
        <v>27</v>
      </c>
      <c r="E66" s="1">
        <v>-2955.98</v>
      </c>
      <c r="F66" s="1" t="str">
        <f>_xlfn.XLOOKUP(B66,Mapping!A:A,Mapping!B:B)</f>
        <v>Travel</v>
      </c>
      <c r="G66" s="1" t="str">
        <f>_xlfn.XLOOKUP(B66,Mapping!A:A,Mapping!C:C)</f>
        <v>Other OPEX</v>
      </c>
    </row>
    <row r="67" spans="1:7">
      <c r="A67" s="1">
        <v>46081</v>
      </c>
      <c r="B67" s="1">
        <v>6400</v>
      </c>
      <c r="C67" s="1" t="s">
        <v>26</v>
      </c>
      <c r="D67" s="1" t="s">
        <v>27</v>
      </c>
      <c r="E67" s="1">
        <v>-4568.34</v>
      </c>
      <c r="F67" s="1" t="str">
        <f>_xlfn.XLOOKUP(B67,Mapping!A:A,Mapping!B:B)</f>
        <v>Professional Services</v>
      </c>
      <c r="G67" s="1" t="str">
        <f>_xlfn.XLOOKUP(B67,Mapping!A:A,Mapping!C:C)</f>
        <v>Other OPEX</v>
      </c>
    </row>
    <row r="68" spans="1:7">
      <c r="A68" s="1">
        <v>46112</v>
      </c>
      <c r="B68" s="1">
        <v>3000</v>
      </c>
      <c r="C68" s="1" t="s">
        <v>22</v>
      </c>
      <c r="D68" s="1" t="s">
        <v>23</v>
      </c>
      <c r="E68" s="1">
        <v>309590.25</v>
      </c>
      <c r="F68" s="1" t="str">
        <f>_xlfn.XLOOKUP(B68,Mapping!A:A,Mapping!B:B)</f>
        <v>Product Sales</v>
      </c>
      <c r="G68" s="1" t="str">
        <f>_xlfn.XLOOKUP(B68,Mapping!A:A,Mapping!C:C)</f>
        <v>Revenue</v>
      </c>
    </row>
    <row r="69" spans="1:7">
      <c r="A69" s="1">
        <v>46112</v>
      </c>
      <c r="B69" s="1">
        <v>3100</v>
      </c>
      <c r="C69" s="1" t="s">
        <v>22</v>
      </c>
      <c r="D69" s="1" t="s">
        <v>23</v>
      </c>
      <c r="E69" s="1">
        <v>79937.7</v>
      </c>
      <c r="F69" s="1" t="str">
        <f>_xlfn.XLOOKUP(B69,Mapping!A:A,Mapping!B:B)</f>
        <v>Service Revenue</v>
      </c>
      <c r="G69" s="1" t="str">
        <f>_xlfn.XLOOKUP(B69,Mapping!A:A,Mapping!C:C)</f>
        <v>Revenue</v>
      </c>
    </row>
    <row r="70" spans="1:7">
      <c r="A70" s="1">
        <v>46112</v>
      </c>
      <c r="B70" s="1">
        <v>4000</v>
      </c>
      <c r="C70" s="1" t="s">
        <v>22</v>
      </c>
      <c r="D70" s="1" t="s">
        <v>23</v>
      </c>
      <c r="E70" s="1">
        <v>-124620</v>
      </c>
      <c r="F70" s="1" t="str">
        <f>_xlfn.XLOOKUP(B70,Mapping!A:A,Mapping!B:B)</f>
        <v>Materials</v>
      </c>
      <c r="G70" s="1" t="str">
        <f>_xlfn.XLOOKUP(B70,Mapping!A:A,Mapping!C:C)</f>
        <v>COGS</v>
      </c>
    </row>
    <row r="71" spans="1:7">
      <c r="A71" s="1">
        <v>46112</v>
      </c>
      <c r="B71" s="1">
        <v>4100</v>
      </c>
      <c r="C71" s="1" t="s">
        <v>22</v>
      </c>
      <c r="D71" s="1" t="s">
        <v>23</v>
      </c>
      <c r="E71" s="1">
        <v>-26913.9</v>
      </c>
      <c r="F71" s="1" t="str">
        <f>_xlfn.XLOOKUP(B71,Mapping!A:A,Mapping!B:B)</f>
        <v>Freight &amp; Logistics</v>
      </c>
      <c r="G71" s="1" t="str">
        <f>_xlfn.XLOOKUP(B71,Mapping!A:A,Mapping!C:C)</f>
        <v>COGS</v>
      </c>
    </row>
    <row r="72" spans="1:7">
      <c r="A72" s="1">
        <v>46112</v>
      </c>
      <c r="B72" s="1">
        <v>5000</v>
      </c>
      <c r="C72" s="1" t="s">
        <v>22</v>
      </c>
      <c r="D72" s="1" t="s">
        <v>23</v>
      </c>
      <c r="E72" s="1">
        <v>-69646.5</v>
      </c>
      <c r="F72" s="1" t="str">
        <f>_xlfn.XLOOKUP(B72,Mapping!A:A,Mapping!B:B)</f>
        <v>Salaries</v>
      </c>
      <c r="G72" s="1" t="str">
        <f>_xlfn.XLOOKUP(B72,Mapping!A:A,Mapping!C:C)</f>
        <v>Personnel</v>
      </c>
    </row>
    <row r="73" spans="1:7">
      <c r="A73" s="1">
        <v>46112</v>
      </c>
      <c r="B73" s="1">
        <v>5100</v>
      </c>
      <c r="C73" s="1" t="s">
        <v>22</v>
      </c>
      <c r="D73" s="1" t="s">
        <v>23</v>
      </c>
      <c r="E73" s="1">
        <v>-15889.05</v>
      </c>
      <c r="F73" s="1" t="str">
        <f>_xlfn.XLOOKUP(B73,Mapping!A:A,Mapping!B:B)</f>
        <v>Employee Benefits</v>
      </c>
      <c r="G73" s="1" t="str">
        <f>_xlfn.XLOOKUP(B73,Mapping!A:A,Mapping!C:C)</f>
        <v>Personnel</v>
      </c>
    </row>
    <row r="74" spans="1:7">
      <c r="A74" s="1">
        <v>46112</v>
      </c>
      <c r="B74" s="1">
        <v>6000</v>
      </c>
      <c r="C74" s="1" t="s">
        <v>22</v>
      </c>
      <c r="D74" s="1" t="s">
        <v>23</v>
      </c>
      <c r="E74" s="1">
        <v>-14773.5</v>
      </c>
      <c r="F74" s="1" t="str">
        <f>_xlfn.XLOOKUP(B74,Mapping!A:A,Mapping!B:B)</f>
        <v xml:space="preserve">Rent </v>
      </c>
      <c r="G74" s="1" t="str">
        <f>_xlfn.XLOOKUP(B74,Mapping!A:A,Mapping!C:C)</f>
        <v>Other OPEX</v>
      </c>
    </row>
    <row r="75" spans="1:7">
      <c r="A75" s="1">
        <v>46112</v>
      </c>
      <c r="B75" s="1">
        <v>6100</v>
      </c>
      <c r="C75" s="1" t="s">
        <v>22</v>
      </c>
      <c r="D75" s="1" t="s">
        <v>23</v>
      </c>
      <c r="E75" s="1">
        <v>-11673.07</v>
      </c>
      <c r="F75" s="1" t="str">
        <f>_xlfn.XLOOKUP(B75,Mapping!A:A,Mapping!B:B)</f>
        <v>IT &amp; Software</v>
      </c>
      <c r="G75" s="1" t="str">
        <f>_xlfn.XLOOKUP(B75,Mapping!A:A,Mapping!C:C)</f>
        <v>Other OPEX</v>
      </c>
    </row>
    <row r="76" spans="1:7">
      <c r="A76" s="1">
        <v>46112</v>
      </c>
      <c r="B76" s="1">
        <v>6200</v>
      </c>
      <c r="C76" s="1" t="s">
        <v>22</v>
      </c>
      <c r="D76" s="1" t="s">
        <v>23</v>
      </c>
      <c r="E76" s="1">
        <v>-9261.07</v>
      </c>
      <c r="F76" s="1" t="str">
        <f>_xlfn.XLOOKUP(B76,Mapping!A:A,Mapping!B:B)</f>
        <v>Marketing</v>
      </c>
      <c r="G76" s="1" t="str">
        <f>_xlfn.XLOOKUP(B76,Mapping!A:A,Mapping!C:C)</f>
        <v>Other OPEX</v>
      </c>
    </row>
    <row r="77" spans="1:7">
      <c r="A77" s="1">
        <v>46112</v>
      </c>
      <c r="B77" s="1">
        <v>6300</v>
      </c>
      <c r="C77" s="1" t="s">
        <v>22</v>
      </c>
      <c r="D77" s="1" t="s">
        <v>23</v>
      </c>
      <c r="E77" s="1">
        <v>-5226</v>
      </c>
      <c r="F77" s="1" t="str">
        <f>_xlfn.XLOOKUP(B77,Mapping!A:A,Mapping!B:B)</f>
        <v>Travel</v>
      </c>
      <c r="G77" s="1" t="str">
        <f>_xlfn.XLOOKUP(B77,Mapping!A:A,Mapping!C:C)</f>
        <v>Other OPEX</v>
      </c>
    </row>
    <row r="78" spans="1:7">
      <c r="A78" s="1">
        <v>46112</v>
      </c>
      <c r="B78" s="1">
        <v>6400</v>
      </c>
      <c r="C78" s="1" t="s">
        <v>22</v>
      </c>
      <c r="D78" s="1" t="s">
        <v>23</v>
      </c>
      <c r="E78" s="1">
        <v>-8074.17</v>
      </c>
      <c r="F78" s="1" t="str">
        <f>_xlfn.XLOOKUP(B78,Mapping!A:A,Mapping!B:B)</f>
        <v>Professional Services</v>
      </c>
      <c r="G78" s="1" t="str">
        <f>_xlfn.XLOOKUP(B78,Mapping!A:A,Mapping!C:C)</f>
        <v>Other OPEX</v>
      </c>
    </row>
    <row r="79" spans="1:7">
      <c r="A79" s="1">
        <v>46112</v>
      </c>
      <c r="B79" s="1">
        <v>3000</v>
      </c>
      <c r="C79" s="1" t="s">
        <v>24</v>
      </c>
      <c r="D79" s="1" t="s">
        <v>25</v>
      </c>
      <c r="E79" s="1">
        <v>246323.49</v>
      </c>
      <c r="F79" s="1" t="str">
        <f>_xlfn.XLOOKUP(B79,Mapping!A:A,Mapping!B:B)</f>
        <v>Product Sales</v>
      </c>
      <c r="G79" s="1" t="str">
        <f>_xlfn.XLOOKUP(B79,Mapping!A:A,Mapping!C:C)</f>
        <v>Revenue</v>
      </c>
    </row>
    <row r="80" spans="1:7">
      <c r="A80" s="1">
        <v>46112</v>
      </c>
      <c r="B80" s="1">
        <v>3100</v>
      </c>
      <c r="C80" s="1" t="s">
        <v>24</v>
      </c>
      <c r="D80" s="1" t="s">
        <v>25</v>
      </c>
      <c r="E80" s="1">
        <v>68251.960000000006</v>
      </c>
      <c r="F80" s="1" t="str">
        <f>_xlfn.XLOOKUP(B80,Mapping!A:A,Mapping!B:B)</f>
        <v>Service Revenue</v>
      </c>
      <c r="G80" s="1" t="str">
        <f>_xlfn.XLOOKUP(B80,Mapping!A:A,Mapping!C:C)</f>
        <v>Revenue</v>
      </c>
    </row>
    <row r="81" spans="1:7">
      <c r="A81" s="1">
        <v>46112</v>
      </c>
      <c r="B81" s="1">
        <v>4000</v>
      </c>
      <c r="C81" s="1" t="s">
        <v>24</v>
      </c>
      <c r="D81" s="1" t="s">
        <v>25</v>
      </c>
      <c r="E81" s="1">
        <v>-99122.75</v>
      </c>
      <c r="F81" s="1" t="str">
        <f>_xlfn.XLOOKUP(B81,Mapping!A:A,Mapping!B:B)</f>
        <v>Materials</v>
      </c>
      <c r="G81" s="1" t="str">
        <f>_xlfn.XLOOKUP(B81,Mapping!A:A,Mapping!C:C)</f>
        <v>COGS</v>
      </c>
    </row>
    <row r="82" spans="1:7">
      <c r="A82" s="1">
        <v>46112</v>
      </c>
      <c r="B82" s="1">
        <v>4100</v>
      </c>
      <c r="C82" s="1" t="s">
        <v>24</v>
      </c>
      <c r="D82" s="1" t="s">
        <v>25</v>
      </c>
      <c r="E82" s="1">
        <v>-21426.6</v>
      </c>
      <c r="F82" s="1" t="str">
        <f>_xlfn.XLOOKUP(B82,Mapping!A:A,Mapping!B:B)</f>
        <v>Freight &amp; Logistics</v>
      </c>
      <c r="G82" s="1" t="str">
        <f>_xlfn.XLOOKUP(B82,Mapping!A:A,Mapping!C:C)</f>
        <v>COGS</v>
      </c>
    </row>
    <row r="83" spans="1:7">
      <c r="A83" s="1">
        <v>46112</v>
      </c>
      <c r="B83" s="1">
        <v>5000</v>
      </c>
      <c r="C83" s="1" t="s">
        <v>24</v>
      </c>
      <c r="D83" s="1" t="s">
        <v>25</v>
      </c>
      <c r="E83" s="1">
        <v>-59417.61</v>
      </c>
      <c r="F83" s="1" t="str">
        <f>_xlfn.XLOOKUP(B83,Mapping!A:A,Mapping!B:B)</f>
        <v>Salaries</v>
      </c>
      <c r="G83" s="1" t="str">
        <f>_xlfn.XLOOKUP(B83,Mapping!A:A,Mapping!C:C)</f>
        <v>Personnel</v>
      </c>
    </row>
    <row r="84" spans="1:7">
      <c r="A84" s="1">
        <v>46112</v>
      </c>
      <c r="B84" s="1">
        <v>5100</v>
      </c>
      <c r="C84" s="1" t="s">
        <v>24</v>
      </c>
      <c r="D84" s="1" t="s">
        <v>25</v>
      </c>
      <c r="E84" s="1">
        <v>-12645.81</v>
      </c>
      <c r="F84" s="1" t="str">
        <f>_xlfn.XLOOKUP(B84,Mapping!A:A,Mapping!B:B)</f>
        <v>Employee Benefits</v>
      </c>
      <c r="G84" s="1" t="str">
        <f>_xlfn.XLOOKUP(B84,Mapping!A:A,Mapping!C:C)</f>
        <v>Personnel</v>
      </c>
    </row>
    <row r="85" spans="1:7">
      <c r="A85" s="1">
        <v>46112</v>
      </c>
      <c r="B85" s="1">
        <v>6000</v>
      </c>
      <c r="C85" s="1" t="s">
        <v>24</v>
      </c>
      <c r="D85" s="1" t="s">
        <v>25</v>
      </c>
      <c r="E85" s="1">
        <v>-12608.73</v>
      </c>
      <c r="F85" s="1" t="str">
        <f>_xlfn.XLOOKUP(B85,Mapping!A:A,Mapping!B:B)</f>
        <v xml:space="preserve">Rent </v>
      </c>
      <c r="G85" s="1" t="str">
        <f>_xlfn.XLOOKUP(B85,Mapping!A:A,Mapping!C:C)</f>
        <v>Other OPEX</v>
      </c>
    </row>
    <row r="86" spans="1:7">
      <c r="A86" s="1">
        <v>46112</v>
      </c>
      <c r="B86" s="1">
        <v>6100</v>
      </c>
      <c r="C86" s="1" t="s">
        <v>24</v>
      </c>
      <c r="D86" s="1" t="s">
        <v>25</v>
      </c>
      <c r="E86" s="1">
        <v>-9287.61</v>
      </c>
      <c r="F86" s="1" t="str">
        <f>_xlfn.XLOOKUP(B86,Mapping!A:A,Mapping!B:B)</f>
        <v>IT &amp; Software</v>
      </c>
      <c r="G86" s="1" t="str">
        <f>_xlfn.XLOOKUP(B86,Mapping!A:A,Mapping!C:C)</f>
        <v>Other OPEX</v>
      </c>
    </row>
    <row r="87" spans="1:7">
      <c r="A87" s="1">
        <v>46112</v>
      </c>
      <c r="B87" s="1">
        <v>6200</v>
      </c>
      <c r="C87" s="1" t="s">
        <v>24</v>
      </c>
      <c r="D87" s="1" t="s">
        <v>25</v>
      </c>
      <c r="E87" s="1">
        <v>-7907.24</v>
      </c>
      <c r="F87" s="1" t="str">
        <f>_xlfn.XLOOKUP(B87,Mapping!A:A,Mapping!B:B)</f>
        <v>Marketing</v>
      </c>
      <c r="G87" s="1" t="str">
        <f>_xlfn.XLOOKUP(B87,Mapping!A:A,Mapping!C:C)</f>
        <v>Other OPEX</v>
      </c>
    </row>
    <row r="88" spans="1:7">
      <c r="A88" s="1">
        <v>46112</v>
      </c>
      <c r="B88" s="1">
        <v>6300</v>
      </c>
      <c r="C88" s="1" t="s">
        <v>24</v>
      </c>
      <c r="D88" s="1" t="s">
        <v>25</v>
      </c>
      <c r="E88" s="1">
        <v>-4156.76</v>
      </c>
      <c r="F88" s="1" t="str">
        <f>_xlfn.XLOOKUP(B88,Mapping!A:A,Mapping!B:B)</f>
        <v>Travel</v>
      </c>
      <c r="G88" s="1" t="str">
        <f>_xlfn.XLOOKUP(B88,Mapping!A:A,Mapping!C:C)</f>
        <v>Other OPEX</v>
      </c>
    </row>
    <row r="89" spans="1:7">
      <c r="A89" s="1">
        <v>46112</v>
      </c>
      <c r="B89" s="1">
        <v>6400</v>
      </c>
      <c r="C89" s="1" t="s">
        <v>24</v>
      </c>
      <c r="D89" s="1" t="s">
        <v>25</v>
      </c>
      <c r="E89" s="1">
        <v>-6427.98</v>
      </c>
      <c r="F89" s="1" t="str">
        <f>_xlfn.XLOOKUP(B89,Mapping!A:A,Mapping!B:B)</f>
        <v>Professional Services</v>
      </c>
      <c r="G89" s="1" t="str">
        <f>_xlfn.XLOOKUP(B89,Mapping!A:A,Mapping!C:C)</f>
        <v>Other OPEX</v>
      </c>
    </row>
    <row r="90" spans="1:7">
      <c r="A90" s="1">
        <v>46112</v>
      </c>
      <c r="B90" s="1">
        <v>3000</v>
      </c>
      <c r="C90" s="1" t="s">
        <v>26</v>
      </c>
      <c r="D90" s="1" t="s">
        <v>27</v>
      </c>
      <c r="E90" s="1">
        <v>181340.19</v>
      </c>
      <c r="F90" s="1" t="str">
        <f>_xlfn.XLOOKUP(B90,Mapping!A:A,Mapping!B:B)</f>
        <v>Product Sales</v>
      </c>
      <c r="G90" s="1" t="str">
        <f>_xlfn.XLOOKUP(B90,Mapping!A:A,Mapping!C:C)</f>
        <v>Revenue</v>
      </c>
    </row>
    <row r="91" spans="1:7">
      <c r="A91" s="1">
        <v>46112</v>
      </c>
      <c r="B91" s="1">
        <v>3100</v>
      </c>
      <c r="C91" s="1" t="s">
        <v>26</v>
      </c>
      <c r="D91" s="1" t="s">
        <v>27</v>
      </c>
      <c r="E91" s="1">
        <v>46841.84</v>
      </c>
      <c r="F91" s="1" t="str">
        <f>_xlfn.XLOOKUP(B91,Mapping!A:A,Mapping!B:B)</f>
        <v>Service Revenue</v>
      </c>
      <c r="G91" s="1" t="str">
        <f>_xlfn.XLOOKUP(B91,Mapping!A:A,Mapping!C:C)</f>
        <v>Revenue</v>
      </c>
    </row>
    <row r="92" spans="1:7">
      <c r="A92" s="1">
        <v>46112</v>
      </c>
      <c r="B92" s="1">
        <v>4000</v>
      </c>
      <c r="C92" s="1" t="s">
        <v>26</v>
      </c>
      <c r="D92" s="1" t="s">
        <v>27</v>
      </c>
      <c r="E92" s="1">
        <v>-73002.399999999994</v>
      </c>
      <c r="F92" s="1" t="str">
        <f>_xlfn.XLOOKUP(B92,Mapping!A:A,Mapping!B:B)</f>
        <v>Materials</v>
      </c>
      <c r="G92" s="1" t="str">
        <f>_xlfn.XLOOKUP(B92,Mapping!A:A,Mapping!C:C)</f>
        <v>COGS</v>
      </c>
    </row>
    <row r="93" spans="1:7">
      <c r="A93" s="1">
        <v>46112</v>
      </c>
      <c r="B93" s="1">
        <v>4100</v>
      </c>
      <c r="C93" s="1" t="s">
        <v>26</v>
      </c>
      <c r="D93" s="1" t="s">
        <v>27</v>
      </c>
      <c r="E93" s="1">
        <v>-14700.74</v>
      </c>
      <c r="F93" s="1" t="str">
        <f>_xlfn.XLOOKUP(B93,Mapping!A:A,Mapping!B:B)</f>
        <v>Freight &amp; Logistics</v>
      </c>
      <c r="G93" s="1" t="str">
        <f>_xlfn.XLOOKUP(B93,Mapping!A:A,Mapping!C:C)</f>
        <v>COGS</v>
      </c>
    </row>
    <row r="94" spans="1:7">
      <c r="A94" s="1">
        <v>46112</v>
      </c>
      <c r="B94" s="1">
        <v>5000</v>
      </c>
      <c r="C94" s="1" t="s">
        <v>26</v>
      </c>
      <c r="D94" s="1" t="s">
        <v>27</v>
      </c>
      <c r="E94" s="1">
        <v>-40803</v>
      </c>
      <c r="F94" s="1" t="str">
        <f>_xlfn.XLOOKUP(B94,Mapping!A:A,Mapping!B:B)</f>
        <v>Salaries</v>
      </c>
      <c r="G94" s="1" t="str">
        <f>_xlfn.XLOOKUP(B94,Mapping!A:A,Mapping!C:C)</f>
        <v>Personnel</v>
      </c>
    </row>
    <row r="95" spans="1:7">
      <c r="A95" s="1">
        <v>46112</v>
      </c>
      <c r="B95" s="1">
        <v>5100</v>
      </c>
      <c r="C95" s="1" t="s">
        <v>26</v>
      </c>
      <c r="D95" s="1" t="s">
        <v>27</v>
      </c>
      <c r="E95" s="1">
        <v>-9306</v>
      </c>
      <c r="F95" s="1" t="str">
        <f>_xlfn.XLOOKUP(B95,Mapping!A:A,Mapping!B:B)</f>
        <v>Employee Benefits</v>
      </c>
      <c r="G95" s="1" t="str">
        <f>_xlfn.XLOOKUP(B95,Mapping!A:A,Mapping!C:C)</f>
        <v>Personnel</v>
      </c>
    </row>
    <row r="96" spans="1:7">
      <c r="A96" s="1">
        <v>46112</v>
      </c>
      <c r="B96" s="1">
        <v>6000</v>
      </c>
      <c r="C96" s="1" t="s">
        <v>26</v>
      </c>
      <c r="D96" s="1" t="s">
        <v>27</v>
      </c>
      <c r="E96" s="1">
        <v>-8656.06</v>
      </c>
      <c r="F96" s="1" t="str">
        <f>_xlfn.XLOOKUP(B96,Mapping!A:A,Mapping!B:B)</f>
        <v xml:space="preserve">Rent </v>
      </c>
      <c r="G96" s="1" t="str">
        <f>_xlfn.XLOOKUP(B96,Mapping!A:A,Mapping!C:C)</f>
        <v>Other OPEX</v>
      </c>
    </row>
    <row r="97" spans="1:7">
      <c r="A97" s="1">
        <v>46112</v>
      </c>
      <c r="B97" s="1">
        <v>6100</v>
      </c>
      <c r="C97" s="1" t="s">
        <v>26</v>
      </c>
      <c r="D97" s="1" t="s">
        <v>27</v>
      </c>
      <c r="E97" s="1">
        <v>-6837.42</v>
      </c>
      <c r="F97" s="1" t="str">
        <f>_xlfn.XLOOKUP(B97,Mapping!A:A,Mapping!B:B)</f>
        <v>IT &amp; Software</v>
      </c>
      <c r="G97" s="1" t="str">
        <f>_xlfn.XLOOKUP(B97,Mapping!A:A,Mapping!C:C)</f>
        <v>Other OPEX</v>
      </c>
    </row>
    <row r="98" spans="1:7">
      <c r="A98" s="1">
        <v>46112</v>
      </c>
      <c r="B98" s="1">
        <v>6200</v>
      </c>
      <c r="C98" s="1" t="s">
        <v>26</v>
      </c>
      <c r="D98" s="1" t="s">
        <v>27</v>
      </c>
      <c r="E98" s="1">
        <v>-5426.8</v>
      </c>
      <c r="F98" s="1" t="str">
        <f>_xlfn.XLOOKUP(B98,Mapping!A:A,Mapping!B:B)</f>
        <v>Marketing</v>
      </c>
      <c r="G98" s="1" t="str">
        <f>_xlfn.XLOOKUP(B98,Mapping!A:A,Mapping!C:C)</f>
        <v>Other OPEX</v>
      </c>
    </row>
    <row r="99" spans="1:7">
      <c r="A99" s="1">
        <v>46112</v>
      </c>
      <c r="B99" s="1">
        <v>6300</v>
      </c>
      <c r="C99" s="1" t="s">
        <v>26</v>
      </c>
      <c r="D99" s="1" t="s">
        <v>27</v>
      </c>
      <c r="E99" s="1">
        <v>-3061.39</v>
      </c>
      <c r="F99" s="1" t="str">
        <f>_xlfn.XLOOKUP(B99,Mapping!A:A,Mapping!B:B)</f>
        <v>Travel</v>
      </c>
      <c r="G99" s="1" t="str">
        <f>_xlfn.XLOOKUP(B99,Mapping!A:A,Mapping!C:C)</f>
        <v>Other OPEX</v>
      </c>
    </row>
    <row r="100" spans="1:7">
      <c r="A100" s="1">
        <v>46112</v>
      </c>
      <c r="B100" s="1">
        <v>6400</v>
      </c>
      <c r="C100" s="1" t="s">
        <v>26</v>
      </c>
      <c r="D100" s="1" t="s">
        <v>27</v>
      </c>
      <c r="E100" s="1">
        <v>-4410.22</v>
      </c>
      <c r="F100" s="1" t="str">
        <f>_xlfn.XLOOKUP(B100,Mapping!A:A,Mapping!B:B)</f>
        <v>Professional Services</v>
      </c>
      <c r="G100" s="1" t="str">
        <f>_xlfn.XLOOKUP(B100,Mapping!A:A,Mapping!C:C)</f>
        <v>Other OPEX</v>
      </c>
    </row>
    <row r="101" spans="1:7">
      <c r="A101" s="1">
        <v>46142</v>
      </c>
      <c r="B101" s="1">
        <v>3000</v>
      </c>
      <c r="C101" s="1" t="s">
        <v>22</v>
      </c>
      <c r="D101" s="1" t="s">
        <v>23</v>
      </c>
      <c r="E101" s="1">
        <v>320433</v>
      </c>
      <c r="F101" s="1" t="str">
        <f>_xlfn.XLOOKUP(B101,Mapping!A:A,Mapping!B:B)</f>
        <v>Product Sales</v>
      </c>
      <c r="G101" s="1" t="str">
        <f>_xlfn.XLOOKUP(B101,Mapping!A:A,Mapping!C:C)</f>
        <v>Revenue</v>
      </c>
    </row>
    <row r="102" spans="1:7">
      <c r="A102" s="1">
        <v>46142</v>
      </c>
      <c r="B102" s="1">
        <v>3100</v>
      </c>
      <c r="C102" s="1" t="s">
        <v>22</v>
      </c>
      <c r="D102" s="1" t="s">
        <v>23</v>
      </c>
      <c r="E102" s="1">
        <v>82803.600000000006</v>
      </c>
      <c r="F102" s="1" t="str">
        <f>_xlfn.XLOOKUP(B102,Mapping!A:A,Mapping!B:B)</f>
        <v>Service Revenue</v>
      </c>
      <c r="G102" s="1" t="str">
        <f>_xlfn.XLOOKUP(B102,Mapping!A:A,Mapping!C:C)</f>
        <v>Revenue</v>
      </c>
    </row>
    <row r="103" spans="1:7">
      <c r="A103" s="1">
        <v>46142</v>
      </c>
      <c r="B103" s="1">
        <v>4000</v>
      </c>
      <c r="C103" s="1" t="s">
        <v>22</v>
      </c>
      <c r="D103" s="1" t="s">
        <v>23</v>
      </c>
      <c r="E103" s="1">
        <v>-129009.60000000001</v>
      </c>
      <c r="F103" s="1" t="str">
        <f>_xlfn.XLOOKUP(B103,Mapping!A:A,Mapping!B:B)</f>
        <v>Materials</v>
      </c>
      <c r="G103" s="1" t="str">
        <f>_xlfn.XLOOKUP(B103,Mapping!A:A,Mapping!C:C)</f>
        <v>COGS</v>
      </c>
    </row>
    <row r="104" spans="1:7">
      <c r="A104" s="1">
        <v>46142</v>
      </c>
      <c r="B104" s="1">
        <v>4100</v>
      </c>
      <c r="C104" s="1" t="s">
        <v>22</v>
      </c>
      <c r="D104" s="1" t="s">
        <v>23</v>
      </c>
      <c r="E104" s="1">
        <v>-25989.599999999999</v>
      </c>
      <c r="F104" s="1" t="str">
        <f>_xlfn.XLOOKUP(B104,Mapping!A:A,Mapping!B:B)</f>
        <v>Freight &amp; Logistics</v>
      </c>
      <c r="G104" s="1" t="str">
        <f>_xlfn.XLOOKUP(B104,Mapping!A:A,Mapping!C:C)</f>
        <v>COGS</v>
      </c>
    </row>
    <row r="105" spans="1:7">
      <c r="A105" s="1">
        <v>46142</v>
      </c>
      <c r="B105" s="1">
        <v>5000</v>
      </c>
      <c r="C105" s="1" t="s">
        <v>22</v>
      </c>
      <c r="D105" s="1" t="s">
        <v>23</v>
      </c>
      <c r="E105" s="1">
        <v>-72114</v>
      </c>
      <c r="F105" s="1" t="str">
        <f>_xlfn.XLOOKUP(B105,Mapping!A:A,Mapping!B:B)</f>
        <v>Salaries</v>
      </c>
      <c r="G105" s="1" t="str">
        <f>_xlfn.XLOOKUP(B105,Mapping!A:A,Mapping!C:C)</f>
        <v>Personnel</v>
      </c>
    </row>
    <row r="106" spans="1:7">
      <c r="A106" s="1">
        <v>46142</v>
      </c>
      <c r="B106" s="1">
        <v>5100</v>
      </c>
      <c r="C106" s="1" t="s">
        <v>22</v>
      </c>
      <c r="D106" s="1" t="s">
        <v>23</v>
      </c>
      <c r="E106" s="1">
        <v>-15335.7</v>
      </c>
      <c r="F106" s="1" t="str">
        <f>_xlfn.XLOOKUP(B106,Mapping!A:A,Mapping!B:B)</f>
        <v>Employee Benefits</v>
      </c>
      <c r="G106" s="1" t="str">
        <f>_xlfn.XLOOKUP(B106,Mapping!A:A,Mapping!C:C)</f>
        <v>Personnel</v>
      </c>
    </row>
    <row r="107" spans="1:7">
      <c r="A107" s="1">
        <v>46142</v>
      </c>
      <c r="B107" s="1">
        <v>6000</v>
      </c>
      <c r="C107" s="1" t="s">
        <v>22</v>
      </c>
      <c r="D107" s="1" t="s">
        <v>23</v>
      </c>
      <c r="E107" s="1">
        <v>-15300</v>
      </c>
      <c r="F107" s="1" t="str">
        <f>_xlfn.XLOOKUP(B107,Mapping!A:A,Mapping!B:B)</f>
        <v xml:space="preserve">Rent </v>
      </c>
      <c r="G107" s="1" t="str">
        <f>_xlfn.XLOOKUP(B107,Mapping!A:A,Mapping!C:C)</f>
        <v>Other OPEX</v>
      </c>
    </row>
    <row r="108" spans="1:7">
      <c r="A108" s="1">
        <v>46142</v>
      </c>
      <c r="B108" s="1">
        <v>6100</v>
      </c>
      <c r="C108" s="1" t="s">
        <v>22</v>
      </c>
      <c r="D108" s="1" t="s">
        <v>23</v>
      </c>
      <c r="E108" s="1">
        <v>-12081.9</v>
      </c>
      <c r="F108" s="1" t="str">
        <f>_xlfn.XLOOKUP(B108,Mapping!A:A,Mapping!B:B)</f>
        <v>IT &amp; Software</v>
      </c>
      <c r="G108" s="1" t="str">
        <f>_xlfn.XLOOKUP(B108,Mapping!A:A,Mapping!C:C)</f>
        <v>Other OPEX</v>
      </c>
    </row>
    <row r="109" spans="1:7">
      <c r="A109" s="1">
        <v>46142</v>
      </c>
      <c r="B109" s="1">
        <v>6200</v>
      </c>
      <c r="C109" s="1" t="s">
        <v>22</v>
      </c>
      <c r="D109" s="1" t="s">
        <v>23</v>
      </c>
      <c r="E109" s="1">
        <v>-9593.1</v>
      </c>
      <c r="F109" s="1" t="str">
        <f>_xlfn.XLOOKUP(B109,Mapping!A:A,Mapping!B:B)</f>
        <v>Marketing</v>
      </c>
      <c r="G109" s="1" t="str">
        <f>_xlfn.XLOOKUP(B109,Mapping!A:A,Mapping!C:C)</f>
        <v>Other OPEX</v>
      </c>
    </row>
    <row r="110" spans="1:7">
      <c r="A110" s="1">
        <v>46142</v>
      </c>
      <c r="B110" s="1">
        <v>6300</v>
      </c>
      <c r="C110" s="1" t="s">
        <v>22</v>
      </c>
      <c r="D110" s="1" t="s">
        <v>23</v>
      </c>
      <c r="E110" s="1">
        <v>-5410.08</v>
      </c>
      <c r="F110" s="1" t="str">
        <f>_xlfn.XLOOKUP(B110,Mapping!A:A,Mapping!B:B)</f>
        <v>Travel</v>
      </c>
      <c r="G110" s="1" t="str">
        <f>_xlfn.XLOOKUP(B110,Mapping!A:A,Mapping!C:C)</f>
        <v>Other OPEX</v>
      </c>
    </row>
    <row r="111" spans="1:7">
      <c r="A111" s="1">
        <v>46142</v>
      </c>
      <c r="B111" s="1">
        <v>6400</v>
      </c>
      <c r="C111" s="1" t="s">
        <v>22</v>
      </c>
      <c r="D111" s="1" t="s">
        <v>23</v>
      </c>
      <c r="E111" s="1">
        <v>-7796.88</v>
      </c>
      <c r="F111" s="1" t="str">
        <f>_xlfn.XLOOKUP(B111,Mapping!A:A,Mapping!B:B)</f>
        <v>Professional Services</v>
      </c>
      <c r="G111" s="1" t="str">
        <f>_xlfn.XLOOKUP(B111,Mapping!A:A,Mapping!C:C)</f>
        <v>Other OPEX</v>
      </c>
    </row>
    <row r="112" spans="1:7">
      <c r="A112" s="1">
        <v>46142</v>
      </c>
      <c r="B112" s="1">
        <v>3000</v>
      </c>
      <c r="C112" s="1" t="s">
        <v>24</v>
      </c>
      <c r="D112" s="1" t="s">
        <v>25</v>
      </c>
      <c r="E112" s="1">
        <v>255102</v>
      </c>
      <c r="F112" s="1" t="str">
        <f>_xlfn.XLOOKUP(B112,Mapping!A:A,Mapping!B:B)</f>
        <v>Product Sales</v>
      </c>
      <c r="G112" s="1" t="str">
        <f>_xlfn.XLOOKUP(B112,Mapping!A:A,Mapping!C:C)</f>
        <v>Revenue</v>
      </c>
    </row>
    <row r="113" spans="1:7">
      <c r="A113" s="1">
        <v>46142</v>
      </c>
      <c r="B113" s="1">
        <v>3100</v>
      </c>
      <c r="C113" s="1" t="s">
        <v>24</v>
      </c>
      <c r="D113" s="1" t="s">
        <v>25</v>
      </c>
      <c r="E113" s="1">
        <v>70642.34</v>
      </c>
      <c r="F113" s="1" t="str">
        <f>_xlfn.XLOOKUP(B113,Mapping!A:A,Mapping!B:B)</f>
        <v>Service Revenue</v>
      </c>
      <c r="G113" s="1" t="str">
        <f>_xlfn.XLOOKUP(B113,Mapping!A:A,Mapping!C:C)</f>
        <v>Revenue</v>
      </c>
    </row>
    <row r="114" spans="1:7">
      <c r="A114" s="1">
        <v>46142</v>
      </c>
      <c r="B114" s="1">
        <v>4000</v>
      </c>
      <c r="C114" s="1" t="s">
        <v>24</v>
      </c>
      <c r="D114" s="1" t="s">
        <v>25</v>
      </c>
      <c r="E114" s="1">
        <v>-102676.46</v>
      </c>
      <c r="F114" s="1" t="str">
        <f>_xlfn.XLOOKUP(B114,Mapping!A:A,Mapping!B:B)</f>
        <v>Materials</v>
      </c>
      <c r="G114" s="1" t="str">
        <f>_xlfn.XLOOKUP(B114,Mapping!A:A,Mapping!C:C)</f>
        <v>COGS</v>
      </c>
    </row>
    <row r="115" spans="1:7">
      <c r="A115" s="1">
        <v>46142</v>
      </c>
      <c r="B115" s="1">
        <v>4100</v>
      </c>
      <c r="C115" s="1" t="s">
        <v>24</v>
      </c>
      <c r="D115" s="1" t="s">
        <v>25</v>
      </c>
      <c r="E115" s="1">
        <v>-22181.33</v>
      </c>
      <c r="F115" s="1" t="str">
        <f>_xlfn.XLOOKUP(B115,Mapping!A:A,Mapping!B:B)</f>
        <v>Freight &amp; Logistics</v>
      </c>
      <c r="G115" s="1" t="str">
        <f>_xlfn.XLOOKUP(B115,Mapping!A:A,Mapping!C:C)</f>
        <v>COGS</v>
      </c>
    </row>
    <row r="116" spans="1:7">
      <c r="A116" s="1">
        <v>46142</v>
      </c>
      <c r="B116" s="1">
        <v>5000</v>
      </c>
      <c r="C116" s="1" t="s">
        <v>24</v>
      </c>
      <c r="D116" s="1" t="s">
        <v>25</v>
      </c>
      <c r="E116" s="1">
        <v>-57377.04</v>
      </c>
      <c r="F116" s="1" t="str">
        <f>_xlfn.XLOOKUP(B116,Mapping!A:A,Mapping!B:B)</f>
        <v>Salaries</v>
      </c>
      <c r="G116" s="1" t="str">
        <f>_xlfn.XLOOKUP(B116,Mapping!A:A,Mapping!C:C)</f>
        <v>Personnel</v>
      </c>
    </row>
    <row r="117" spans="1:7">
      <c r="A117" s="1">
        <v>46142</v>
      </c>
      <c r="B117" s="1">
        <v>5100</v>
      </c>
      <c r="C117" s="1" t="s">
        <v>24</v>
      </c>
      <c r="D117" s="1" t="s">
        <v>25</v>
      </c>
      <c r="E117" s="1">
        <v>-13093.84</v>
      </c>
      <c r="F117" s="1" t="str">
        <f>_xlfn.XLOOKUP(B117,Mapping!A:A,Mapping!B:B)</f>
        <v>Employee Benefits</v>
      </c>
      <c r="G117" s="1" t="str">
        <f>_xlfn.XLOOKUP(B117,Mapping!A:A,Mapping!C:C)</f>
        <v>Personnel</v>
      </c>
    </row>
    <row r="118" spans="1:7">
      <c r="A118" s="1">
        <v>46142</v>
      </c>
      <c r="B118" s="1">
        <v>6000</v>
      </c>
      <c r="C118" s="1" t="s">
        <v>24</v>
      </c>
      <c r="D118" s="1" t="s">
        <v>25</v>
      </c>
      <c r="E118" s="1">
        <v>-12169.62</v>
      </c>
      <c r="F118" s="1" t="str">
        <f>_xlfn.XLOOKUP(B118,Mapping!A:A,Mapping!B:B)</f>
        <v xml:space="preserve">Rent </v>
      </c>
      <c r="G118" s="1" t="str">
        <f>_xlfn.XLOOKUP(B118,Mapping!A:A,Mapping!C:C)</f>
        <v>Other OPEX</v>
      </c>
    </row>
    <row r="119" spans="1:7">
      <c r="A119" s="1">
        <v>46142</v>
      </c>
      <c r="B119" s="1">
        <v>6100</v>
      </c>
      <c r="C119" s="1" t="s">
        <v>24</v>
      </c>
      <c r="D119" s="1" t="s">
        <v>25</v>
      </c>
      <c r="E119" s="1">
        <v>-9618.6</v>
      </c>
      <c r="F119" s="1" t="str">
        <f>_xlfn.XLOOKUP(B119,Mapping!A:A,Mapping!B:B)</f>
        <v>IT &amp; Software</v>
      </c>
      <c r="G119" s="1" t="str">
        <f>_xlfn.XLOOKUP(B119,Mapping!A:A,Mapping!C:C)</f>
        <v>Other OPEX</v>
      </c>
    </row>
    <row r="120" spans="1:7">
      <c r="A120" s="1">
        <v>46142</v>
      </c>
      <c r="B120" s="1">
        <v>6200</v>
      </c>
      <c r="C120" s="1" t="s">
        <v>24</v>
      </c>
      <c r="D120" s="1" t="s">
        <v>25</v>
      </c>
      <c r="E120" s="1">
        <v>-8184.17</v>
      </c>
      <c r="F120" s="1" t="str">
        <f>_xlfn.XLOOKUP(B120,Mapping!A:A,Mapping!B:B)</f>
        <v>Marketing</v>
      </c>
      <c r="G120" s="1" t="str">
        <f>_xlfn.XLOOKUP(B120,Mapping!A:A,Mapping!C:C)</f>
        <v>Other OPEX</v>
      </c>
    </row>
    <row r="121" spans="1:7">
      <c r="A121" s="1">
        <v>46142</v>
      </c>
      <c r="B121" s="1">
        <v>6300</v>
      </c>
      <c r="C121" s="1" t="s">
        <v>24</v>
      </c>
      <c r="D121" s="1" t="s">
        <v>25</v>
      </c>
      <c r="E121" s="1">
        <v>-4305.79</v>
      </c>
      <c r="F121" s="1" t="str">
        <f>_xlfn.XLOOKUP(B121,Mapping!A:A,Mapping!B:B)</f>
        <v>Travel</v>
      </c>
      <c r="G121" s="1" t="str">
        <f>_xlfn.XLOOKUP(B121,Mapping!A:A,Mapping!C:C)</f>
        <v>Other OPEX</v>
      </c>
    </row>
    <row r="122" spans="1:7">
      <c r="A122" s="1">
        <v>46142</v>
      </c>
      <c r="B122" s="1">
        <v>6400</v>
      </c>
      <c r="C122" s="1" t="s">
        <v>24</v>
      </c>
      <c r="D122" s="1" t="s">
        <v>25</v>
      </c>
      <c r="E122" s="1">
        <v>-6654.4</v>
      </c>
      <c r="F122" s="1" t="str">
        <f>_xlfn.XLOOKUP(B122,Mapping!A:A,Mapping!B:B)</f>
        <v>Professional Services</v>
      </c>
      <c r="G122" s="1" t="str">
        <f>_xlfn.XLOOKUP(B122,Mapping!A:A,Mapping!C:C)</f>
        <v>Other OPEX</v>
      </c>
    </row>
    <row r="123" spans="1:7">
      <c r="A123" s="1">
        <v>46142</v>
      </c>
      <c r="B123" s="1">
        <v>3000</v>
      </c>
      <c r="C123" s="1" t="s">
        <v>26</v>
      </c>
      <c r="D123" s="1" t="s">
        <v>27</v>
      </c>
      <c r="E123" s="1">
        <v>175024.86</v>
      </c>
      <c r="F123" s="1" t="str">
        <f>_xlfn.XLOOKUP(B123,Mapping!A:A,Mapping!B:B)</f>
        <v>Product Sales</v>
      </c>
      <c r="G123" s="1" t="str">
        <f>_xlfn.XLOOKUP(B123,Mapping!A:A,Mapping!C:C)</f>
        <v>Revenue</v>
      </c>
    </row>
    <row r="124" spans="1:7">
      <c r="A124" s="1">
        <v>46142</v>
      </c>
      <c r="B124" s="1">
        <v>3100</v>
      </c>
      <c r="C124" s="1" t="s">
        <v>26</v>
      </c>
      <c r="D124" s="1" t="s">
        <v>27</v>
      </c>
      <c r="E124" s="1">
        <v>48511.199999999997</v>
      </c>
      <c r="F124" s="1" t="str">
        <f>_xlfn.XLOOKUP(B124,Mapping!A:A,Mapping!B:B)</f>
        <v>Service Revenue</v>
      </c>
      <c r="G124" s="1" t="str">
        <f>_xlfn.XLOOKUP(B124,Mapping!A:A,Mapping!C:C)</f>
        <v>Revenue</v>
      </c>
    </row>
    <row r="125" spans="1:7">
      <c r="A125" s="1">
        <v>46142</v>
      </c>
      <c r="B125" s="1">
        <v>4000</v>
      </c>
      <c r="C125" s="1" t="s">
        <v>26</v>
      </c>
      <c r="D125" s="1" t="s">
        <v>27</v>
      </c>
      <c r="E125" s="1">
        <v>-75559.149999999994</v>
      </c>
      <c r="F125" s="1" t="str">
        <f>_xlfn.XLOOKUP(B125,Mapping!A:A,Mapping!B:B)</f>
        <v>Materials</v>
      </c>
      <c r="G125" s="1" t="str">
        <f>_xlfn.XLOOKUP(B125,Mapping!A:A,Mapping!C:C)</f>
        <v>COGS</v>
      </c>
    </row>
    <row r="126" spans="1:7">
      <c r="A126" s="1">
        <v>46142</v>
      </c>
      <c r="B126" s="1">
        <v>4100</v>
      </c>
      <c r="C126" s="1" t="s">
        <v>26</v>
      </c>
      <c r="D126" s="1" t="s">
        <v>27</v>
      </c>
      <c r="E126" s="1">
        <v>-15227.78</v>
      </c>
      <c r="F126" s="1" t="str">
        <f>_xlfn.XLOOKUP(B126,Mapping!A:A,Mapping!B:B)</f>
        <v>Freight &amp; Logistics</v>
      </c>
      <c r="G126" s="1" t="str">
        <f>_xlfn.XLOOKUP(B126,Mapping!A:A,Mapping!C:C)</f>
        <v>COGS</v>
      </c>
    </row>
    <row r="127" spans="1:7">
      <c r="A127" s="1">
        <v>46142</v>
      </c>
      <c r="B127" s="1">
        <v>5000</v>
      </c>
      <c r="C127" s="1" t="s">
        <v>26</v>
      </c>
      <c r="D127" s="1" t="s">
        <v>27</v>
      </c>
      <c r="E127" s="1">
        <v>-42240.24</v>
      </c>
      <c r="F127" s="1" t="str">
        <f>_xlfn.XLOOKUP(B127,Mapping!A:A,Mapping!B:B)</f>
        <v>Salaries</v>
      </c>
      <c r="G127" s="1" t="str">
        <f>_xlfn.XLOOKUP(B127,Mapping!A:A,Mapping!C:C)</f>
        <v>Personnel</v>
      </c>
    </row>
    <row r="128" spans="1:7">
      <c r="A128" s="1">
        <v>46142</v>
      </c>
      <c r="B128" s="1">
        <v>5100</v>
      </c>
      <c r="C128" s="1" t="s">
        <v>26</v>
      </c>
      <c r="D128" s="1" t="s">
        <v>27</v>
      </c>
      <c r="E128" s="1">
        <v>-8986.4</v>
      </c>
      <c r="F128" s="1" t="str">
        <f>_xlfn.XLOOKUP(B128,Mapping!A:A,Mapping!B:B)</f>
        <v>Employee Benefits</v>
      </c>
      <c r="G128" s="1" t="str">
        <f>_xlfn.XLOOKUP(B128,Mapping!A:A,Mapping!C:C)</f>
        <v>Personnel</v>
      </c>
    </row>
    <row r="129" spans="1:7">
      <c r="A129" s="1">
        <v>46142</v>
      </c>
      <c r="B129" s="1">
        <v>6000</v>
      </c>
      <c r="C129" s="1" t="s">
        <v>26</v>
      </c>
      <c r="D129" s="1" t="s">
        <v>27</v>
      </c>
      <c r="E129" s="1">
        <v>-8962.74</v>
      </c>
      <c r="F129" s="1" t="str">
        <f>_xlfn.XLOOKUP(B129,Mapping!A:A,Mapping!B:B)</f>
        <v xml:space="preserve">Rent </v>
      </c>
      <c r="G129" s="1" t="str">
        <f>_xlfn.XLOOKUP(B129,Mapping!A:A,Mapping!C:C)</f>
        <v>Other OPEX</v>
      </c>
    </row>
    <row r="130" spans="1:7">
      <c r="A130" s="1">
        <v>46142</v>
      </c>
      <c r="B130" s="1">
        <v>6100</v>
      </c>
      <c r="C130" s="1" t="s">
        <v>26</v>
      </c>
      <c r="D130" s="1" t="s">
        <v>27</v>
      </c>
      <c r="E130" s="1">
        <v>-6599.3</v>
      </c>
      <c r="F130" s="1" t="str">
        <f>_xlfn.XLOOKUP(B130,Mapping!A:A,Mapping!B:B)</f>
        <v>IT &amp; Software</v>
      </c>
      <c r="G130" s="1" t="str">
        <f>_xlfn.XLOOKUP(B130,Mapping!A:A,Mapping!C:C)</f>
        <v>Other OPEX</v>
      </c>
    </row>
    <row r="131" spans="1:7">
      <c r="A131" s="1">
        <v>46142</v>
      </c>
      <c r="B131" s="1">
        <v>6200</v>
      </c>
      <c r="C131" s="1" t="s">
        <v>26</v>
      </c>
      <c r="D131" s="1" t="s">
        <v>27</v>
      </c>
      <c r="E131" s="1">
        <v>-5620.2</v>
      </c>
      <c r="F131" s="1" t="str">
        <f>_xlfn.XLOOKUP(B131,Mapping!A:A,Mapping!B:B)</f>
        <v>Marketing</v>
      </c>
      <c r="G131" s="1" t="str">
        <f>_xlfn.XLOOKUP(B131,Mapping!A:A,Mapping!C:C)</f>
        <v>Other OPEX</v>
      </c>
    </row>
    <row r="132" spans="1:7">
      <c r="A132" s="1">
        <v>46142</v>
      </c>
      <c r="B132" s="1">
        <v>6300</v>
      </c>
      <c r="C132" s="1" t="s">
        <v>26</v>
      </c>
      <c r="D132" s="1" t="s">
        <v>27</v>
      </c>
      <c r="E132" s="1">
        <v>-3168.61</v>
      </c>
      <c r="F132" s="1" t="str">
        <f>_xlfn.XLOOKUP(B132,Mapping!A:A,Mapping!B:B)</f>
        <v>Travel</v>
      </c>
      <c r="G132" s="1" t="str">
        <f>_xlfn.XLOOKUP(B132,Mapping!A:A,Mapping!C:C)</f>
        <v>Other OPEX</v>
      </c>
    </row>
    <row r="133" spans="1:7">
      <c r="A133" s="1">
        <v>46142</v>
      </c>
      <c r="B133" s="1">
        <v>6400</v>
      </c>
      <c r="C133" s="1" t="s">
        <v>26</v>
      </c>
      <c r="D133" s="1" t="s">
        <v>27</v>
      </c>
      <c r="E133" s="1">
        <v>-4568.34</v>
      </c>
      <c r="F133" s="1" t="str">
        <f>_xlfn.XLOOKUP(B133,Mapping!A:A,Mapping!B:B)</f>
        <v>Professional Services</v>
      </c>
      <c r="G133" s="1" t="str">
        <f>_xlfn.XLOOKUP(B133,Mapping!A:A,Mapping!C:C)</f>
        <v>Other OPEX</v>
      </c>
    </row>
    <row r="134" spans="1:7">
      <c r="A134" s="1">
        <v>46173</v>
      </c>
      <c r="B134" s="1">
        <v>3000</v>
      </c>
      <c r="C134" s="1" t="s">
        <v>22</v>
      </c>
      <c r="D134" s="1" t="s">
        <v>23</v>
      </c>
      <c r="E134" s="1">
        <v>309361.5</v>
      </c>
      <c r="F134" s="1" t="str">
        <f>_xlfn.XLOOKUP(B134,Mapping!A:A,Mapping!B:B)</f>
        <v>Product Sales</v>
      </c>
      <c r="G134" s="1" t="str">
        <f>_xlfn.XLOOKUP(B134,Mapping!A:A,Mapping!C:C)</f>
        <v>Revenue</v>
      </c>
    </row>
    <row r="135" spans="1:7">
      <c r="A135" s="1">
        <v>46173</v>
      </c>
      <c r="B135" s="1">
        <v>3100</v>
      </c>
      <c r="C135" s="1" t="s">
        <v>22</v>
      </c>
      <c r="D135" s="1" t="s">
        <v>23</v>
      </c>
      <c r="E135" s="1">
        <v>85718.7</v>
      </c>
      <c r="F135" s="1" t="str">
        <f>_xlfn.XLOOKUP(B135,Mapping!A:A,Mapping!B:B)</f>
        <v>Service Revenue</v>
      </c>
      <c r="G135" s="1" t="str">
        <f>_xlfn.XLOOKUP(B135,Mapping!A:A,Mapping!C:C)</f>
        <v>Revenue</v>
      </c>
    </row>
    <row r="136" spans="1:7">
      <c r="A136" s="1">
        <v>46173</v>
      </c>
      <c r="B136" s="1">
        <v>4000</v>
      </c>
      <c r="C136" s="1" t="s">
        <v>22</v>
      </c>
      <c r="D136" s="1" t="s">
        <v>23</v>
      </c>
      <c r="E136" s="1">
        <v>-124489.8</v>
      </c>
      <c r="F136" s="1" t="str">
        <f>_xlfn.XLOOKUP(B136,Mapping!A:A,Mapping!B:B)</f>
        <v>Materials</v>
      </c>
      <c r="G136" s="1" t="str">
        <f>_xlfn.XLOOKUP(B136,Mapping!A:A,Mapping!C:C)</f>
        <v>COGS</v>
      </c>
    </row>
    <row r="137" spans="1:7">
      <c r="A137" s="1">
        <v>46173</v>
      </c>
      <c r="B137" s="1">
        <v>4100</v>
      </c>
      <c r="C137" s="1" t="s">
        <v>22</v>
      </c>
      <c r="D137" s="1" t="s">
        <v>23</v>
      </c>
      <c r="E137" s="1">
        <v>-26910</v>
      </c>
      <c r="F137" s="1" t="str">
        <f>_xlfn.XLOOKUP(B137,Mapping!A:A,Mapping!B:B)</f>
        <v>Freight &amp; Logistics</v>
      </c>
      <c r="G137" s="1" t="str">
        <f>_xlfn.XLOOKUP(B137,Mapping!A:A,Mapping!C:C)</f>
        <v>COGS</v>
      </c>
    </row>
    <row r="138" spans="1:7">
      <c r="A138" s="1">
        <v>46173</v>
      </c>
      <c r="B138" s="1">
        <v>5000</v>
      </c>
      <c r="C138" s="1" t="s">
        <v>22</v>
      </c>
      <c r="D138" s="1" t="s">
        <v>23</v>
      </c>
      <c r="E138" s="1">
        <v>-74623.5</v>
      </c>
      <c r="F138" s="1" t="str">
        <f>_xlfn.XLOOKUP(B138,Mapping!A:A,Mapping!B:B)</f>
        <v>Salaries</v>
      </c>
      <c r="G138" s="1" t="str">
        <f>_xlfn.XLOOKUP(B138,Mapping!A:A,Mapping!C:C)</f>
        <v>Personnel</v>
      </c>
    </row>
    <row r="139" spans="1:7">
      <c r="A139" s="1">
        <v>46173</v>
      </c>
      <c r="B139" s="1">
        <v>5100</v>
      </c>
      <c r="C139" s="1" t="s">
        <v>22</v>
      </c>
      <c r="D139" s="1" t="s">
        <v>23</v>
      </c>
      <c r="E139" s="1">
        <v>-15882.07</v>
      </c>
      <c r="F139" s="1" t="str">
        <f>_xlfn.XLOOKUP(B139,Mapping!A:A,Mapping!B:B)</f>
        <v>Employee Benefits</v>
      </c>
      <c r="G139" s="1" t="str">
        <f>_xlfn.XLOOKUP(B139,Mapping!A:A,Mapping!C:C)</f>
        <v>Personnel</v>
      </c>
    </row>
    <row r="140" spans="1:7">
      <c r="A140" s="1">
        <v>46173</v>
      </c>
      <c r="B140" s="1">
        <v>6000</v>
      </c>
      <c r="C140" s="1" t="s">
        <v>22</v>
      </c>
      <c r="D140" s="1" t="s">
        <v>23</v>
      </c>
      <c r="E140" s="1">
        <v>-15835.5</v>
      </c>
      <c r="F140" s="1" t="str">
        <f>_xlfn.XLOOKUP(B140,Mapping!A:A,Mapping!B:B)</f>
        <v xml:space="preserve">Rent </v>
      </c>
      <c r="G140" s="1" t="str">
        <f>_xlfn.XLOOKUP(B140,Mapping!A:A,Mapping!C:C)</f>
        <v>Other OPEX</v>
      </c>
    </row>
    <row r="141" spans="1:7">
      <c r="A141" s="1">
        <v>46173</v>
      </c>
      <c r="B141" s="1">
        <v>6100</v>
      </c>
      <c r="C141" s="1" t="s">
        <v>22</v>
      </c>
      <c r="D141" s="1" t="s">
        <v>23</v>
      </c>
      <c r="E141" s="1">
        <v>-11664.45</v>
      </c>
      <c r="F141" s="1" t="str">
        <f>_xlfn.XLOOKUP(B141,Mapping!A:A,Mapping!B:B)</f>
        <v>IT &amp; Software</v>
      </c>
      <c r="G141" s="1" t="str">
        <f>_xlfn.XLOOKUP(B141,Mapping!A:A,Mapping!C:C)</f>
        <v>Other OPEX</v>
      </c>
    </row>
    <row r="142" spans="1:7">
      <c r="A142" s="1">
        <v>46173</v>
      </c>
      <c r="B142" s="1">
        <v>6200</v>
      </c>
      <c r="C142" s="1" t="s">
        <v>22</v>
      </c>
      <c r="D142" s="1" t="s">
        <v>23</v>
      </c>
      <c r="E142" s="1">
        <v>-9930.83</v>
      </c>
      <c r="F142" s="1" t="str">
        <f>_xlfn.XLOOKUP(B142,Mapping!A:A,Mapping!B:B)</f>
        <v>Marketing</v>
      </c>
      <c r="G142" s="1" t="str">
        <f>_xlfn.XLOOKUP(B142,Mapping!A:A,Mapping!C:C)</f>
        <v>Other OPEX</v>
      </c>
    </row>
    <row r="143" spans="1:7">
      <c r="A143" s="1">
        <v>46173</v>
      </c>
      <c r="B143" s="1">
        <v>6300</v>
      </c>
      <c r="C143" s="1" t="s">
        <v>22</v>
      </c>
      <c r="D143" s="1" t="s">
        <v>23</v>
      </c>
      <c r="E143" s="1">
        <v>-5220.54</v>
      </c>
      <c r="F143" s="1" t="str">
        <f>_xlfn.XLOOKUP(B143,Mapping!A:A,Mapping!B:B)</f>
        <v>Travel</v>
      </c>
      <c r="G143" s="1" t="str">
        <f>_xlfn.XLOOKUP(B143,Mapping!A:A,Mapping!C:C)</f>
        <v>Other OPEX</v>
      </c>
    </row>
    <row r="144" spans="1:7">
      <c r="A144" s="1">
        <v>46173</v>
      </c>
      <c r="B144" s="1">
        <v>6400</v>
      </c>
      <c r="C144" s="1" t="s">
        <v>22</v>
      </c>
      <c r="D144" s="1" t="s">
        <v>23</v>
      </c>
      <c r="E144" s="1">
        <v>-8073</v>
      </c>
      <c r="F144" s="1" t="str">
        <f>_xlfn.XLOOKUP(B144,Mapping!A:A,Mapping!B:B)</f>
        <v>Professional Services</v>
      </c>
      <c r="G144" s="1" t="str">
        <f>_xlfn.XLOOKUP(B144,Mapping!A:A,Mapping!C:C)</f>
        <v>Other OPEX</v>
      </c>
    </row>
    <row r="145" spans="1:7">
      <c r="A145" s="1">
        <v>46173</v>
      </c>
      <c r="B145" s="1">
        <v>3000</v>
      </c>
      <c r="C145" s="1" t="s">
        <v>24</v>
      </c>
      <c r="D145" s="1" t="s">
        <v>25</v>
      </c>
      <c r="E145" s="1">
        <v>264030.57</v>
      </c>
      <c r="F145" s="1" t="str">
        <f>_xlfn.XLOOKUP(B145,Mapping!A:A,Mapping!B:B)</f>
        <v>Product Sales</v>
      </c>
      <c r="G145" s="1" t="str">
        <f>_xlfn.XLOOKUP(B145,Mapping!A:A,Mapping!C:C)</f>
        <v>Revenue</v>
      </c>
    </row>
    <row r="146" spans="1:7">
      <c r="A146" s="1">
        <v>46173</v>
      </c>
      <c r="B146" s="1">
        <v>3100</v>
      </c>
      <c r="C146" s="1" t="s">
        <v>24</v>
      </c>
      <c r="D146" s="1" t="s">
        <v>25</v>
      </c>
      <c r="E146" s="1">
        <v>68201.53</v>
      </c>
      <c r="F146" s="1" t="str">
        <f>_xlfn.XLOOKUP(B146,Mapping!A:A,Mapping!B:B)</f>
        <v>Service Revenue</v>
      </c>
      <c r="G146" s="1" t="str">
        <f>_xlfn.XLOOKUP(B146,Mapping!A:A,Mapping!C:C)</f>
        <v>Revenue</v>
      </c>
    </row>
    <row r="147" spans="1:7">
      <c r="A147" s="1">
        <v>46173</v>
      </c>
      <c r="B147" s="1">
        <v>4000</v>
      </c>
      <c r="C147" s="1" t="s">
        <v>24</v>
      </c>
      <c r="D147" s="1" t="s">
        <v>25</v>
      </c>
      <c r="E147" s="1">
        <v>-106291.19</v>
      </c>
      <c r="F147" s="1" t="str">
        <f>_xlfn.XLOOKUP(B147,Mapping!A:A,Mapping!B:B)</f>
        <v>Materials</v>
      </c>
      <c r="G147" s="1" t="str">
        <f>_xlfn.XLOOKUP(B147,Mapping!A:A,Mapping!C:C)</f>
        <v>COGS</v>
      </c>
    </row>
    <row r="148" spans="1:7">
      <c r="A148" s="1">
        <v>46173</v>
      </c>
      <c r="B148" s="1">
        <v>4100</v>
      </c>
      <c r="C148" s="1" t="s">
        <v>24</v>
      </c>
      <c r="D148" s="1" t="s">
        <v>25</v>
      </c>
      <c r="E148" s="1">
        <v>-21404.21</v>
      </c>
      <c r="F148" s="1" t="str">
        <f>_xlfn.XLOOKUP(B148,Mapping!A:A,Mapping!B:B)</f>
        <v>Freight &amp; Logistics</v>
      </c>
      <c r="G148" s="1" t="str">
        <f>_xlfn.XLOOKUP(B148,Mapping!A:A,Mapping!C:C)</f>
        <v>COGS</v>
      </c>
    </row>
    <row r="149" spans="1:7">
      <c r="A149" s="1">
        <v>46173</v>
      </c>
      <c r="B149" s="1">
        <v>5000</v>
      </c>
      <c r="C149" s="1" t="s">
        <v>24</v>
      </c>
      <c r="D149" s="1" t="s">
        <v>25</v>
      </c>
      <c r="E149" s="1">
        <v>-59409</v>
      </c>
      <c r="F149" s="1" t="str">
        <f>_xlfn.XLOOKUP(B149,Mapping!A:A,Mapping!B:B)</f>
        <v>Salaries</v>
      </c>
      <c r="G149" s="1" t="str">
        <f>_xlfn.XLOOKUP(B149,Mapping!A:A,Mapping!C:C)</f>
        <v>Personnel</v>
      </c>
    </row>
    <row r="150" spans="1:7">
      <c r="A150" s="1">
        <v>46173</v>
      </c>
      <c r="B150" s="1">
        <v>5100</v>
      </c>
      <c r="C150" s="1" t="s">
        <v>24</v>
      </c>
      <c r="D150" s="1" t="s">
        <v>25</v>
      </c>
      <c r="E150" s="1">
        <v>-13549.5</v>
      </c>
      <c r="F150" s="1" t="str">
        <f>_xlfn.XLOOKUP(B150,Mapping!A:A,Mapping!B:B)</f>
        <v>Employee Benefits</v>
      </c>
      <c r="G150" s="1" t="str">
        <f>_xlfn.XLOOKUP(B150,Mapping!A:A,Mapping!C:C)</f>
        <v>Personnel</v>
      </c>
    </row>
    <row r="151" spans="1:7">
      <c r="A151" s="1">
        <v>46173</v>
      </c>
      <c r="B151" s="1">
        <v>6000</v>
      </c>
      <c r="C151" s="1" t="s">
        <v>24</v>
      </c>
      <c r="D151" s="1" t="s">
        <v>25</v>
      </c>
      <c r="E151" s="1">
        <v>-12603.19</v>
      </c>
      <c r="F151" s="1" t="str">
        <f>_xlfn.XLOOKUP(B151,Mapping!A:A,Mapping!B:B)</f>
        <v xml:space="preserve">Rent </v>
      </c>
      <c r="G151" s="1" t="str">
        <f>_xlfn.XLOOKUP(B151,Mapping!A:A,Mapping!C:C)</f>
        <v>Other OPEX</v>
      </c>
    </row>
    <row r="152" spans="1:7">
      <c r="A152" s="1">
        <v>46173</v>
      </c>
      <c r="B152" s="1">
        <v>6100</v>
      </c>
      <c r="C152" s="1" t="s">
        <v>24</v>
      </c>
      <c r="D152" s="1" t="s">
        <v>25</v>
      </c>
      <c r="E152" s="1">
        <v>-9955.25</v>
      </c>
      <c r="F152" s="1" t="str">
        <f>_xlfn.XLOOKUP(B152,Mapping!A:A,Mapping!B:B)</f>
        <v>IT &amp; Software</v>
      </c>
      <c r="G152" s="1" t="str">
        <f>_xlfn.XLOOKUP(B152,Mapping!A:A,Mapping!C:C)</f>
        <v>Other OPEX</v>
      </c>
    </row>
    <row r="153" spans="1:7">
      <c r="A153" s="1">
        <v>46173</v>
      </c>
      <c r="B153" s="1">
        <v>6200</v>
      </c>
      <c r="C153" s="1" t="s">
        <v>24</v>
      </c>
      <c r="D153" s="1" t="s">
        <v>25</v>
      </c>
      <c r="E153" s="1">
        <v>-7901.4</v>
      </c>
      <c r="F153" s="1" t="str">
        <f>_xlfn.XLOOKUP(B153,Mapping!A:A,Mapping!B:B)</f>
        <v>Marketing</v>
      </c>
      <c r="G153" s="1" t="str">
        <f>_xlfn.XLOOKUP(B153,Mapping!A:A,Mapping!C:C)</f>
        <v>Other OPEX</v>
      </c>
    </row>
    <row r="154" spans="1:7">
      <c r="A154" s="1">
        <v>46173</v>
      </c>
      <c r="B154" s="1">
        <v>6300</v>
      </c>
      <c r="C154" s="1" t="s">
        <v>24</v>
      </c>
      <c r="D154" s="1" t="s">
        <v>25</v>
      </c>
      <c r="E154" s="1">
        <v>-4457.37</v>
      </c>
      <c r="F154" s="1" t="str">
        <f>_xlfn.XLOOKUP(B154,Mapping!A:A,Mapping!B:B)</f>
        <v>Travel</v>
      </c>
      <c r="G154" s="1" t="str">
        <f>_xlfn.XLOOKUP(B154,Mapping!A:A,Mapping!C:C)</f>
        <v>Other OPEX</v>
      </c>
    </row>
    <row r="155" spans="1:7">
      <c r="A155" s="1">
        <v>46173</v>
      </c>
      <c r="B155" s="1">
        <v>6400</v>
      </c>
      <c r="C155" s="1" t="s">
        <v>24</v>
      </c>
      <c r="D155" s="1" t="s">
        <v>25</v>
      </c>
      <c r="E155" s="1">
        <v>-6421.26</v>
      </c>
      <c r="F155" s="1" t="str">
        <f>_xlfn.XLOOKUP(B155,Mapping!A:A,Mapping!B:B)</f>
        <v>Professional Services</v>
      </c>
      <c r="G155" s="1" t="str">
        <f>_xlfn.XLOOKUP(B155,Mapping!A:A,Mapping!C:C)</f>
        <v>Other OPEX</v>
      </c>
    </row>
    <row r="156" spans="1:7">
      <c r="A156" s="1">
        <v>46173</v>
      </c>
      <c r="B156" s="1">
        <v>3000</v>
      </c>
      <c r="C156" s="1" t="s">
        <v>26</v>
      </c>
      <c r="D156" s="1" t="s">
        <v>27</v>
      </c>
      <c r="E156" s="1">
        <v>181260.58</v>
      </c>
      <c r="F156" s="1" t="str">
        <f>_xlfn.XLOOKUP(B156,Mapping!A:A,Mapping!B:B)</f>
        <v>Product Sales</v>
      </c>
      <c r="G156" s="1" t="str">
        <f>_xlfn.XLOOKUP(B156,Mapping!A:A,Mapping!C:C)</f>
        <v>Revenue</v>
      </c>
    </row>
    <row r="157" spans="1:7">
      <c r="A157" s="1">
        <v>46173</v>
      </c>
      <c r="B157" s="1">
        <v>3100</v>
      </c>
      <c r="C157" s="1" t="s">
        <v>26</v>
      </c>
      <c r="D157" s="1" t="s">
        <v>27</v>
      </c>
      <c r="E157" s="1">
        <v>50209.09</v>
      </c>
      <c r="F157" s="1" t="str">
        <f>_xlfn.XLOOKUP(B157,Mapping!A:A,Mapping!B:B)</f>
        <v>Service Revenue</v>
      </c>
      <c r="G157" s="1" t="str">
        <f>_xlfn.XLOOKUP(B157,Mapping!A:A,Mapping!C:C)</f>
        <v>Revenue</v>
      </c>
    </row>
    <row r="158" spans="1:7">
      <c r="A158" s="1">
        <v>46173</v>
      </c>
      <c r="B158" s="1">
        <v>4000</v>
      </c>
      <c r="C158" s="1" t="s">
        <v>26</v>
      </c>
      <c r="D158" s="1" t="s">
        <v>27</v>
      </c>
      <c r="E158" s="1">
        <v>-72948.460000000006</v>
      </c>
      <c r="F158" s="1" t="str">
        <f>_xlfn.XLOOKUP(B158,Mapping!A:A,Mapping!B:B)</f>
        <v>Materials</v>
      </c>
      <c r="G158" s="1" t="str">
        <f>_xlfn.XLOOKUP(B158,Mapping!A:A,Mapping!C:C)</f>
        <v>COGS</v>
      </c>
    </row>
    <row r="159" spans="1:7">
      <c r="A159" s="1">
        <v>46173</v>
      </c>
      <c r="B159" s="1">
        <v>4100</v>
      </c>
      <c r="C159" s="1" t="s">
        <v>26</v>
      </c>
      <c r="D159" s="1" t="s">
        <v>27</v>
      </c>
      <c r="E159" s="1">
        <v>-15763.88</v>
      </c>
      <c r="F159" s="1" t="str">
        <f>_xlfn.XLOOKUP(B159,Mapping!A:A,Mapping!B:B)</f>
        <v>Freight &amp; Logistics</v>
      </c>
      <c r="G159" s="1" t="str">
        <f>_xlfn.XLOOKUP(B159,Mapping!A:A,Mapping!C:C)</f>
        <v>COGS</v>
      </c>
    </row>
    <row r="160" spans="1:7">
      <c r="A160" s="1">
        <v>46173</v>
      </c>
      <c r="B160" s="1">
        <v>5000</v>
      </c>
      <c r="C160" s="1" t="s">
        <v>26</v>
      </c>
      <c r="D160" s="1" t="s">
        <v>27</v>
      </c>
      <c r="E160" s="1">
        <v>-40760.370000000003</v>
      </c>
      <c r="F160" s="1" t="str">
        <f>_xlfn.XLOOKUP(B160,Mapping!A:A,Mapping!B:B)</f>
        <v>Salaries</v>
      </c>
      <c r="G160" s="1" t="str">
        <f>_xlfn.XLOOKUP(B160,Mapping!A:A,Mapping!C:C)</f>
        <v>Personnel</v>
      </c>
    </row>
    <row r="161" spans="1:7">
      <c r="A161" s="1">
        <v>46173</v>
      </c>
      <c r="B161" s="1">
        <v>5100</v>
      </c>
      <c r="C161" s="1" t="s">
        <v>26</v>
      </c>
      <c r="D161" s="1" t="s">
        <v>27</v>
      </c>
      <c r="E161" s="1">
        <v>-9304.65</v>
      </c>
      <c r="F161" s="1" t="str">
        <f>_xlfn.XLOOKUP(B161,Mapping!A:A,Mapping!B:B)</f>
        <v>Employee Benefits</v>
      </c>
      <c r="G161" s="1" t="str">
        <f>_xlfn.XLOOKUP(B161,Mapping!A:A,Mapping!C:C)</f>
        <v>Personnel</v>
      </c>
    </row>
    <row r="162" spans="1:7">
      <c r="A162" s="1">
        <v>46173</v>
      </c>
      <c r="B162" s="1">
        <v>6000</v>
      </c>
      <c r="C162" s="1" t="s">
        <v>26</v>
      </c>
      <c r="D162" s="1" t="s">
        <v>27</v>
      </c>
      <c r="E162" s="1">
        <v>-9274.6299999999992</v>
      </c>
      <c r="F162" s="1" t="str">
        <f>_xlfn.XLOOKUP(B162,Mapping!A:A,Mapping!B:B)</f>
        <v xml:space="preserve">Rent </v>
      </c>
      <c r="G162" s="1" t="str">
        <f>_xlfn.XLOOKUP(B162,Mapping!A:A,Mapping!C:C)</f>
        <v>Other OPEX</v>
      </c>
    </row>
    <row r="163" spans="1:7">
      <c r="A163" s="1">
        <v>46173</v>
      </c>
      <c r="B163" s="1">
        <v>6100</v>
      </c>
      <c r="C163" s="1" t="s">
        <v>26</v>
      </c>
      <c r="D163" s="1" t="s">
        <v>27</v>
      </c>
      <c r="E163" s="1">
        <v>-6834.42</v>
      </c>
      <c r="F163" s="1" t="str">
        <f>_xlfn.XLOOKUP(B163,Mapping!A:A,Mapping!B:B)</f>
        <v>IT &amp; Software</v>
      </c>
      <c r="G163" s="1" t="str">
        <f>_xlfn.XLOOKUP(B163,Mapping!A:A,Mapping!C:C)</f>
        <v>Other OPEX</v>
      </c>
    </row>
    <row r="164" spans="1:7">
      <c r="A164" s="1">
        <v>46173</v>
      </c>
      <c r="B164" s="1">
        <v>6200</v>
      </c>
      <c r="C164" s="1" t="s">
        <v>26</v>
      </c>
      <c r="D164" s="1" t="s">
        <v>27</v>
      </c>
      <c r="E164" s="1">
        <v>-5816.91</v>
      </c>
      <c r="F164" s="1" t="str">
        <f>_xlfn.XLOOKUP(B164,Mapping!A:A,Mapping!B:B)</f>
        <v>Marketing</v>
      </c>
      <c r="G164" s="1" t="str">
        <f>_xlfn.XLOOKUP(B164,Mapping!A:A,Mapping!C:C)</f>
        <v>Other OPEX</v>
      </c>
    </row>
    <row r="165" spans="1:7">
      <c r="A165" s="1">
        <v>46173</v>
      </c>
      <c r="B165" s="1">
        <v>6300</v>
      </c>
      <c r="C165" s="1" t="s">
        <v>26</v>
      </c>
      <c r="D165" s="1" t="s">
        <v>27</v>
      </c>
      <c r="E165" s="1">
        <v>-3059.13</v>
      </c>
      <c r="F165" s="1" t="str">
        <f>_xlfn.XLOOKUP(B165,Mapping!A:A,Mapping!B:B)</f>
        <v>Travel</v>
      </c>
      <c r="G165" s="1" t="str">
        <f>_xlfn.XLOOKUP(B165,Mapping!A:A,Mapping!C:C)</f>
        <v>Other OPEX</v>
      </c>
    </row>
    <row r="166" spans="1:7">
      <c r="A166" s="1">
        <v>46173</v>
      </c>
      <c r="B166" s="1">
        <v>6400</v>
      </c>
      <c r="C166" s="1" t="s">
        <v>26</v>
      </c>
      <c r="D166" s="1" t="s">
        <v>27</v>
      </c>
      <c r="E166" s="1">
        <v>-4729.16</v>
      </c>
      <c r="F166" s="1" t="str">
        <f>_xlfn.XLOOKUP(B166,Mapping!A:A,Mapping!B:B)</f>
        <v>Professional Services</v>
      </c>
      <c r="G166" s="1" t="str">
        <f>_xlfn.XLOOKUP(B166,Mapping!A:A,Mapping!C:C)</f>
        <v>Other OPEX</v>
      </c>
    </row>
    <row r="167" spans="1:7">
      <c r="A167" s="1">
        <v>46203</v>
      </c>
      <c r="B167" s="1">
        <v>3000</v>
      </c>
      <c r="C167" s="1" t="s">
        <v>22</v>
      </c>
      <c r="D167" s="1" t="s">
        <v>23</v>
      </c>
      <c r="E167" s="1">
        <v>320250</v>
      </c>
      <c r="F167" s="1" t="str">
        <f>_xlfn.XLOOKUP(B167,Mapping!A:A,Mapping!B:B)</f>
        <v>Product Sales</v>
      </c>
      <c r="G167" s="1" t="str">
        <f>_xlfn.XLOOKUP(B167,Mapping!A:A,Mapping!C:C)</f>
        <v>Revenue</v>
      </c>
    </row>
    <row r="168" spans="1:7">
      <c r="A168" s="1">
        <v>46203</v>
      </c>
      <c r="B168" s="1">
        <v>3100</v>
      </c>
      <c r="C168" s="1" t="s">
        <v>22</v>
      </c>
      <c r="D168" s="1" t="s">
        <v>23</v>
      </c>
      <c r="E168" s="1">
        <v>88683</v>
      </c>
      <c r="F168" s="1" t="str">
        <f>_xlfn.XLOOKUP(B168,Mapping!A:A,Mapping!B:B)</f>
        <v>Service Revenue</v>
      </c>
      <c r="G168" s="1" t="str">
        <f>_xlfn.XLOOKUP(B168,Mapping!A:A,Mapping!C:C)</f>
        <v>Revenue</v>
      </c>
    </row>
    <row r="169" spans="1:7">
      <c r="A169" s="1">
        <v>46203</v>
      </c>
      <c r="B169" s="1">
        <v>4000</v>
      </c>
      <c r="C169" s="1" t="s">
        <v>22</v>
      </c>
      <c r="D169" s="1" t="s">
        <v>23</v>
      </c>
      <c r="E169" s="1">
        <v>-128898</v>
      </c>
      <c r="F169" s="1" t="str">
        <f>_xlfn.XLOOKUP(B169,Mapping!A:A,Mapping!B:B)</f>
        <v>Materials</v>
      </c>
      <c r="G169" s="1" t="str">
        <f>_xlfn.XLOOKUP(B169,Mapping!A:A,Mapping!C:C)</f>
        <v>COGS</v>
      </c>
    </row>
    <row r="170" spans="1:7">
      <c r="A170" s="1">
        <v>46203</v>
      </c>
      <c r="B170" s="1">
        <v>4100</v>
      </c>
      <c r="C170" s="1" t="s">
        <v>22</v>
      </c>
      <c r="D170" s="1" t="s">
        <v>23</v>
      </c>
      <c r="E170" s="1">
        <v>-27846</v>
      </c>
      <c r="F170" s="1" t="str">
        <f>_xlfn.XLOOKUP(B170,Mapping!A:A,Mapping!B:B)</f>
        <v>Freight &amp; Logistics</v>
      </c>
      <c r="G170" s="1" t="str">
        <f>_xlfn.XLOOKUP(B170,Mapping!A:A,Mapping!C:C)</f>
        <v>COGS</v>
      </c>
    </row>
    <row r="171" spans="1:7">
      <c r="A171" s="1">
        <v>46203</v>
      </c>
      <c r="B171" s="1">
        <v>5000</v>
      </c>
      <c r="C171" s="1" t="s">
        <v>22</v>
      </c>
      <c r="D171" s="1" t="s">
        <v>23</v>
      </c>
      <c r="E171" s="1">
        <v>-72030</v>
      </c>
      <c r="F171" s="1" t="str">
        <f>_xlfn.XLOOKUP(B171,Mapping!A:A,Mapping!B:B)</f>
        <v>Salaries</v>
      </c>
      <c r="G171" s="1" t="str">
        <f>_xlfn.XLOOKUP(B171,Mapping!A:A,Mapping!C:C)</f>
        <v>Personnel</v>
      </c>
    </row>
    <row r="172" spans="1:7">
      <c r="A172" s="1">
        <v>46203</v>
      </c>
      <c r="B172" s="1">
        <v>5100</v>
      </c>
      <c r="C172" s="1" t="s">
        <v>22</v>
      </c>
      <c r="D172" s="1" t="s">
        <v>23</v>
      </c>
      <c r="E172" s="1">
        <v>-16437.75</v>
      </c>
      <c r="F172" s="1" t="str">
        <f>_xlfn.XLOOKUP(B172,Mapping!A:A,Mapping!B:B)</f>
        <v>Employee Benefits</v>
      </c>
      <c r="G172" s="1" t="str">
        <f>_xlfn.XLOOKUP(B172,Mapping!A:A,Mapping!C:C)</f>
        <v>Personnel</v>
      </c>
    </row>
    <row r="173" spans="1:7">
      <c r="A173" s="1">
        <v>46203</v>
      </c>
      <c r="B173" s="1">
        <v>6000</v>
      </c>
      <c r="C173" s="1" t="s">
        <v>22</v>
      </c>
      <c r="D173" s="1" t="s">
        <v>23</v>
      </c>
      <c r="E173" s="1">
        <v>-15277.5</v>
      </c>
      <c r="F173" s="1" t="str">
        <f>_xlfn.XLOOKUP(B173,Mapping!A:A,Mapping!B:B)</f>
        <v xml:space="preserve">Rent </v>
      </c>
      <c r="G173" s="1" t="str">
        <f>_xlfn.XLOOKUP(B173,Mapping!A:A,Mapping!C:C)</f>
        <v>Other OPEX</v>
      </c>
    </row>
    <row r="174" spans="1:7">
      <c r="A174" s="1">
        <v>46203</v>
      </c>
      <c r="B174" s="1">
        <v>6100</v>
      </c>
      <c r="C174" s="1" t="s">
        <v>22</v>
      </c>
      <c r="D174" s="1" t="s">
        <v>23</v>
      </c>
      <c r="E174" s="1">
        <v>-12075</v>
      </c>
      <c r="F174" s="1" t="str">
        <f>_xlfn.XLOOKUP(B174,Mapping!A:A,Mapping!B:B)</f>
        <v>IT &amp; Software</v>
      </c>
      <c r="G174" s="1" t="str">
        <f>_xlfn.XLOOKUP(B174,Mapping!A:A,Mapping!C:C)</f>
        <v>Other OPEX</v>
      </c>
    </row>
    <row r="175" spans="1:7">
      <c r="A175" s="1">
        <v>46203</v>
      </c>
      <c r="B175" s="1">
        <v>6200</v>
      </c>
      <c r="C175" s="1" t="s">
        <v>22</v>
      </c>
      <c r="D175" s="1" t="s">
        <v>23</v>
      </c>
      <c r="E175" s="1">
        <v>-10274.25</v>
      </c>
      <c r="F175" s="1" t="str">
        <f>_xlfn.XLOOKUP(B175,Mapping!A:A,Mapping!B:B)</f>
        <v>Marketing</v>
      </c>
      <c r="G175" s="1" t="str">
        <f>_xlfn.XLOOKUP(B175,Mapping!A:A,Mapping!C:C)</f>
        <v>Other OPEX</v>
      </c>
    </row>
    <row r="176" spans="1:7">
      <c r="A176" s="1">
        <v>46203</v>
      </c>
      <c r="B176" s="1">
        <v>6300</v>
      </c>
      <c r="C176" s="1" t="s">
        <v>22</v>
      </c>
      <c r="D176" s="1" t="s">
        <v>23</v>
      </c>
      <c r="E176" s="1">
        <v>-5405.4</v>
      </c>
      <c r="F176" s="1" t="str">
        <f>_xlfn.XLOOKUP(B176,Mapping!A:A,Mapping!B:B)</f>
        <v>Travel</v>
      </c>
      <c r="G176" s="1" t="str">
        <f>_xlfn.XLOOKUP(B176,Mapping!A:A,Mapping!C:C)</f>
        <v>Other OPEX</v>
      </c>
    </row>
    <row r="177" spans="1:7">
      <c r="A177" s="1">
        <v>46203</v>
      </c>
      <c r="B177" s="1">
        <v>6400</v>
      </c>
      <c r="C177" s="1" t="s">
        <v>22</v>
      </c>
      <c r="D177" s="1" t="s">
        <v>23</v>
      </c>
      <c r="E177" s="1">
        <v>-8353.7999999999993</v>
      </c>
      <c r="F177" s="1" t="str">
        <f>_xlfn.XLOOKUP(B177,Mapping!A:A,Mapping!B:B)</f>
        <v>Professional Services</v>
      </c>
      <c r="G177" s="1" t="str">
        <f>_xlfn.XLOOKUP(B177,Mapping!A:A,Mapping!C:C)</f>
        <v>Other OPEX</v>
      </c>
    </row>
    <row r="178" spans="1:7">
      <c r="A178" s="1">
        <v>46203</v>
      </c>
      <c r="B178" s="1">
        <v>3000</v>
      </c>
      <c r="C178" s="1" t="s">
        <v>24</v>
      </c>
      <c r="D178" s="1" t="s">
        <v>25</v>
      </c>
      <c r="E178" s="1">
        <v>254726.85</v>
      </c>
      <c r="F178" s="1" t="str">
        <f>_xlfn.XLOOKUP(B178,Mapping!A:A,Mapping!B:B)</f>
        <v>Product Sales</v>
      </c>
      <c r="G178" s="1" t="str">
        <f>_xlfn.XLOOKUP(B178,Mapping!A:A,Mapping!C:C)</f>
        <v>Revenue</v>
      </c>
    </row>
    <row r="179" spans="1:7">
      <c r="A179" s="1">
        <v>46203</v>
      </c>
      <c r="B179" s="1">
        <v>3100</v>
      </c>
      <c r="C179" s="1" t="s">
        <v>24</v>
      </c>
      <c r="D179" s="1" t="s">
        <v>25</v>
      </c>
      <c r="E179" s="1">
        <v>70602</v>
      </c>
      <c r="F179" s="1" t="str">
        <f>_xlfn.XLOOKUP(B179,Mapping!A:A,Mapping!B:B)</f>
        <v>Service Revenue</v>
      </c>
      <c r="G179" s="1" t="str">
        <f>_xlfn.XLOOKUP(B179,Mapping!A:A,Mapping!C:C)</f>
        <v>Revenue</v>
      </c>
    </row>
    <row r="180" spans="1:7">
      <c r="A180" s="1">
        <v>46203</v>
      </c>
      <c r="B180" s="1">
        <v>4000</v>
      </c>
      <c r="C180" s="1" t="s">
        <v>24</v>
      </c>
      <c r="D180" s="1" t="s">
        <v>25</v>
      </c>
      <c r="E180" s="1">
        <v>-109966.92</v>
      </c>
      <c r="F180" s="1" t="str">
        <f>_xlfn.XLOOKUP(B180,Mapping!A:A,Mapping!B:B)</f>
        <v>Materials</v>
      </c>
      <c r="G180" s="1" t="str">
        <f>_xlfn.XLOOKUP(B180,Mapping!A:A,Mapping!C:C)</f>
        <v>COGS</v>
      </c>
    </row>
    <row r="181" spans="1:7">
      <c r="A181" s="1">
        <v>46203</v>
      </c>
      <c r="B181" s="1">
        <v>4100</v>
      </c>
      <c r="C181" s="1" t="s">
        <v>24</v>
      </c>
      <c r="D181" s="1" t="s">
        <v>25</v>
      </c>
      <c r="E181" s="1">
        <v>-22162.14</v>
      </c>
      <c r="F181" s="1" t="str">
        <f>_xlfn.XLOOKUP(B181,Mapping!A:A,Mapping!B:B)</f>
        <v>Freight &amp; Logistics</v>
      </c>
      <c r="G181" s="1" t="str">
        <f>_xlfn.XLOOKUP(B181,Mapping!A:A,Mapping!C:C)</f>
        <v>COGS</v>
      </c>
    </row>
    <row r="182" spans="1:7">
      <c r="A182" s="1">
        <v>46203</v>
      </c>
      <c r="B182" s="1">
        <v>5000</v>
      </c>
      <c r="C182" s="1" t="s">
        <v>24</v>
      </c>
      <c r="D182" s="1" t="s">
        <v>25</v>
      </c>
      <c r="E182" s="1">
        <v>-61475.4</v>
      </c>
      <c r="F182" s="1" t="str">
        <f>_xlfn.XLOOKUP(B182,Mapping!A:A,Mapping!B:B)</f>
        <v>Salaries</v>
      </c>
      <c r="G182" s="1" t="str">
        <f>_xlfn.XLOOKUP(B182,Mapping!A:A,Mapping!C:C)</f>
        <v>Personnel</v>
      </c>
    </row>
    <row r="183" spans="1:7">
      <c r="A183" s="1">
        <v>46203</v>
      </c>
      <c r="B183" s="1">
        <v>5100</v>
      </c>
      <c r="C183" s="1" t="s">
        <v>24</v>
      </c>
      <c r="D183" s="1" t="s">
        <v>25</v>
      </c>
      <c r="E183" s="1">
        <v>-13078.59</v>
      </c>
      <c r="F183" s="1" t="str">
        <f>_xlfn.XLOOKUP(B183,Mapping!A:A,Mapping!B:B)</f>
        <v>Employee Benefits</v>
      </c>
      <c r="G183" s="1" t="str">
        <f>_xlfn.XLOOKUP(B183,Mapping!A:A,Mapping!C:C)</f>
        <v>Personnel</v>
      </c>
    </row>
    <row r="184" spans="1:7">
      <c r="A184" s="1">
        <v>46203</v>
      </c>
      <c r="B184" s="1">
        <v>6000</v>
      </c>
      <c r="C184" s="1" t="s">
        <v>24</v>
      </c>
      <c r="D184" s="1" t="s">
        <v>25</v>
      </c>
      <c r="E184" s="1">
        <v>-13044.15</v>
      </c>
      <c r="F184" s="1" t="str">
        <f>_xlfn.XLOOKUP(B184,Mapping!A:A,Mapping!B:B)</f>
        <v xml:space="preserve">Rent </v>
      </c>
      <c r="G184" s="1" t="str">
        <f>_xlfn.XLOOKUP(B184,Mapping!A:A,Mapping!C:C)</f>
        <v>Other OPEX</v>
      </c>
    </row>
    <row r="185" spans="1:7">
      <c r="A185" s="1">
        <v>46203</v>
      </c>
      <c r="B185" s="1">
        <v>6100</v>
      </c>
      <c r="C185" s="1" t="s">
        <v>24</v>
      </c>
      <c r="D185" s="1" t="s">
        <v>25</v>
      </c>
      <c r="E185" s="1">
        <v>-9604.4500000000007</v>
      </c>
      <c r="F185" s="1" t="str">
        <f>_xlfn.XLOOKUP(B185,Mapping!A:A,Mapping!B:B)</f>
        <v>IT &amp; Software</v>
      </c>
      <c r="G185" s="1" t="str">
        <f>_xlfn.XLOOKUP(B185,Mapping!A:A,Mapping!C:C)</f>
        <v>Other OPEX</v>
      </c>
    </row>
    <row r="186" spans="1:7">
      <c r="A186" s="1">
        <v>46203</v>
      </c>
      <c r="B186" s="1">
        <v>6200</v>
      </c>
      <c r="C186" s="1" t="s">
        <v>24</v>
      </c>
      <c r="D186" s="1" t="s">
        <v>25</v>
      </c>
      <c r="E186" s="1">
        <v>-8179.5</v>
      </c>
      <c r="F186" s="1" t="str">
        <f>_xlfn.XLOOKUP(B186,Mapping!A:A,Mapping!B:B)</f>
        <v>Marketing</v>
      </c>
      <c r="G186" s="1" t="str">
        <f>_xlfn.XLOOKUP(B186,Mapping!A:A,Mapping!C:C)</f>
        <v>Other OPEX</v>
      </c>
    </row>
    <row r="187" spans="1:7">
      <c r="A187" s="1">
        <v>46203</v>
      </c>
      <c r="B187" s="1">
        <v>6300</v>
      </c>
      <c r="C187" s="1" t="s">
        <v>24</v>
      </c>
      <c r="D187" s="1" t="s">
        <v>25</v>
      </c>
      <c r="E187" s="1">
        <v>-4611.5200000000004</v>
      </c>
      <c r="F187" s="1" t="str">
        <f>_xlfn.XLOOKUP(B187,Mapping!A:A,Mapping!B:B)</f>
        <v>Travel</v>
      </c>
      <c r="G187" s="1" t="str">
        <f>_xlfn.XLOOKUP(B187,Mapping!A:A,Mapping!C:C)</f>
        <v>Other OPEX</v>
      </c>
    </row>
    <row r="188" spans="1:7">
      <c r="A188" s="1">
        <v>46203</v>
      </c>
      <c r="B188" s="1">
        <v>6400</v>
      </c>
      <c r="C188" s="1" t="s">
        <v>24</v>
      </c>
      <c r="D188" s="1" t="s">
        <v>25</v>
      </c>
      <c r="E188" s="1">
        <v>-6648.64</v>
      </c>
      <c r="F188" s="1" t="str">
        <f>_xlfn.XLOOKUP(B188,Mapping!A:A,Mapping!B:B)</f>
        <v>Professional Services</v>
      </c>
      <c r="G188" s="1" t="str">
        <f>_xlfn.XLOOKUP(B188,Mapping!A:A,Mapping!C:C)</f>
        <v>Other OPEX</v>
      </c>
    </row>
    <row r="189" spans="1:7">
      <c r="A189" s="1">
        <v>46203</v>
      </c>
      <c r="B189" s="1">
        <v>3000</v>
      </c>
      <c r="C189" s="1" t="s">
        <v>26</v>
      </c>
      <c r="D189" s="1" t="s">
        <v>27</v>
      </c>
      <c r="E189" s="1">
        <v>187602.45</v>
      </c>
      <c r="F189" s="1" t="str">
        <f>_xlfn.XLOOKUP(B189,Mapping!A:A,Mapping!B:B)</f>
        <v>Product Sales</v>
      </c>
      <c r="G189" s="1" t="str">
        <f>_xlfn.XLOOKUP(B189,Mapping!A:A,Mapping!C:C)</f>
        <v>Revenue</v>
      </c>
    </row>
    <row r="190" spans="1:7">
      <c r="A190" s="1">
        <v>46203</v>
      </c>
      <c r="B190" s="1">
        <v>3100</v>
      </c>
      <c r="C190" s="1" t="s">
        <v>26</v>
      </c>
      <c r="D190" s="1" t="s">
        <v>27</v>
      </c>
      <c r="E190" s="1">
        <v>48439.86</v>
      </c>
      <c r="F190" s="1" t="str">
        <f>_xlfn.XLOOKUP(B190,Mapping!A:A,Mapping!B:B)</f>
        <v>Service Revenue</v>
      </c>
      <c r="G190" s="1" t="str">
        <f>_xlfn.XLOOKUP(B190,Mapping!A:A,Mapping!C:C)</f>
        <v>Revenue</v>
      </c>
    </row>
    <row r="191" spans="1:7">
      <c r="A191" s="1">
        <v>46203</v>
      </c>
      <c r="B191" s="1">
        <v>4000</v>
      </c>
      <c r="C191" s="1" t="s">
        <v>26</v>
      </c>
      <c r="D191" s="1" t="s">
        <v>27</v>
      </c>
      <c r="E191" s="1">
        <v>-75516</v>
      </c>
      <c r="F191" s="1" t="str">
        <f>_xlfn.XLOOKUP(B191,Mapping!A:A,Mapping!B:B)</f>
        <v>Materials</v>
      </c>
      <c r="G191" s="1" t="str">
        <f>_xlfn.XLOOKUP(B191,Mapping!A:A,Mapping!C:C)</f>
        <v>COGS</v>
      </c>
    </row>
    <row r="192" spans="1:7">
      <c r="A192" s="1">
        <v>46203</v>
      </c>
      <c r="B192" s="1">
        <v>4100</v>
      </c>
      <c r="C192" s="1" t="s">
        <v>26</v>
      </c>
      <c r="D192" s="1" t="s">
        <v>27</v>
      </c>
      <c r="E192" s="1">
        <v>-16309.02</v>
      </c>
      <c r="F192" s="1" t="str">
        <f>_xlfn.XLOOKUP(B192,Mapping!A:A,Mapping!B:B)</f>
        <v>Freight &amp; Logistics</v>
      </c>
      <c r="G192" s="1" t="str">
        <f>_xlfn.XLOOKUP(B192,Mapping!A:A,Mapping!C:C)</f>
        <v>COGS</v>
      </c>
    </row>
    <row r="193" spans="1:7">
      <c r="A193" s="1">
        <v>46203</v>
      </c>
      <c r="B193" s="1">
        <v>5000</v>
      </c>
      <c r="C193" s="1" t="s">
        <v>26</v>
      </c>
      <c r="D193" s="1" t="s">
        <v>27</v>
      </c>
      <c r="E193" s="1">
        <v>-42203.7</v>
      </c>
      <c r="F193" s="1" t="str">
        <f>_xlfn.XLOOKUP(B193,Mapping!A:A,Mapping!B:B)</f>
        <v>Salaries</v>
      </c>
      <c r="G193" s="1" t="str">
        <f>_xlfn.XLOOKUP(B193,Mapping!A:A,Mapping!C:C)</f>
        <v>Personnel</v>
      </c>
    </row>
    <row r="194" spans="1:7">
      <c r="A194" s="1">
        <v>46203</v>
      </c>
      <c r="B194" s="1">
        <v>5100</v>
      </c>
      <c r="C194" s="1" t="s">
        <v>26</v>
      </c>
      <c r="D194" s="1" t="s">
        <v>27</v>
      </c>
      <c r="E194" s="1">
        <v>-9628.2900000000009</v>
      </c>
      <c r="F194" s="1" t="str">
        <f>_xlfn.XLOOKUP(B194,Mapping!A:A,Mapping!B:B)</f>
        <v>Employee Benefits</v>
      </c>
      <c r="G194" s="1" t="str">
        <f>_xlfn.XLOOKUP(B194,Mapping!A:A,Mapping!C:C)</f>
        <v>Personnel</v>
      </c>
    </row>
    <row r="195" spans="1:7">
      <c r="A195" s="1">
        <v>46203</v>
      </c>
      <c r="B195" s="1">
        <v>6000</v>
      </c>
      <c r="C195" s="1" t="s">
        <v>26</v>
      </c>
      <c r="D195" s="1" t="s">
        <v>27</v>
      </c>
      <c r="E195" s="1">
        <v>-8952.2999999999993</v>
      </c>
      <c r="F195" s="1" t="str">
        <f>_xlfn.XLOOKUP(B195,Mapping!A:A,Mapping!B:B)</f>
        <v xml:space="preserve">Rent </v>
      </c>
      <c r="G195" s="1" t="str">
        <f>_xlfn.XLOOKUP(B195,Mapping!A:A,Mapping!C:C)</f>
        <v>Other OPEX</v>
      </c>
    </row>
    <row r="196" spans="1:7">
      <c r="A196" s="1">
        <v>46203</v>
      </c>
      <c r="B196" s="1">
        <v>6100</v>
      </c>
      <c r="C196" s="1" t="s">
        <v>26</v>
      </c>
      <c r="D196" s="1" t="s">
        <v>27</v>
      </c>
      <c r="E196" s="1">
        <v>-7073.53</v>
      </c>
      <c r="F196" s="1" t="str">
        <f>_xlfn.XLOOKUP(B196,Mapping!A:A,Mapping!B:B)</f>
        <v>IT &amp; Software</v>
      </c>
      <c r="G196" s="1" t="str">
        <f>_xlfn.XLOOKUP(B196,Mapping!A:A,Mapping!C:C)</f>
        <v>Other OPEX</v>
      </c>
    </row>
    <row r="197" spans="1:7">
      <c r="A197" s="1">
        <v>46203</v>
      </c>
      <c r="B197" s="1">
        <v>6200</v>
      </c>
      <c r="C197" s="1" t="s">
        <v>26</v>
      </c>
      <c r="D197" s="1" t="s">
        <v>27</v>
      </c>
      <c r="E197" s="1">
        <v>-5611.93</v>
      </c>
      <c r="F197" s="1" t="str">
        <f>_xlfn.XLOOKUP(B197,Mapping!A:A,Mapping!B:B)</f>
        <v>Marketing</v>
      </c>
      <c r="G197" s="1" t="str">
        <f>_xlfn.XLOOKUP(B197,Mapping!A:A,Mapping!C:C)</f>
        <v>Other OPEX</v>
      </c>
    </row>
    <row r="198" spans="1:7">
      <c r="A198" s="1">
        <v>46203</v>
      </c>
      <c r="B198" s="1">
        <v>6300</v>
      </c>
      <c r="C198" s="1" t="s">
        <v>26</v>
      </c>
      <c r="D198" s="1" t="s">
        <v>27</v>
      </c>
      <c r="E198" s="1">
        <v>-3166.8</v>
      </c>
      <c r="F198" s="1" t="str">
        <f>_xlfn.XLOOKUP(B198,Mapping!A:A,Mapping!B:B)</f>
        <v>Travel</v>
      </c>
      <c r="G198" s="1" t="str">
        <f>_xlfn.XLOOKUP(B198,Mapping!A:A,Mapping!C:C)</f>
        <v>Other OPEX</v>
      </c>
    </row>
    <row r="199" spans="1:7">
      <c r="A199" s="1">
        <v>46203</v>
      </c>
      <c r="B199" s="1">
        <v>6400</v>
      </c>
      <c r="C199" s="1" t="s">
        <v>26</v>
      </c>
      <c r="D199" s="1" t="s">
        <v>27</v>
      </c>
      <c r="E199" s="1">
        <v>-4892.71</v>
      </c>
      <c r="F199" s="1" t="str">
        <f>_xlfn.XLOOKUP(B199,Mapping!A:A,Mapping!B:B)</f>
        <v>Professional Services</v>
      </c>
      <c r="G199" s="1" t="str">
        <f>_xlfn.XLOOKUP(B199,Mapping!A:A,Mapping!C:C)</f>
        <v>Other OPEX</v>
      </c>
    </row>
    <row r="200" spans="1:7">
      <c r="A200" s="1">
        <v>46234</v>
      </c>
      <c r="B200" s="1">
        <v>3000</v>
      </c>
      <c r="C200" s="1" t="s">
        <v>22</v>
      </c>
      <c r="D200" s="1" t="s">
        <v>23</v>
      </c>
      <c r="E200" s="1">
        <v>331321.5</v>
      </c>
      <c r="F200" s="1" t="str">
        <f>_xlfn.XLOOKUP(B200,Mapping!A:A,Mapping!B:B)</f>
        <v>Product Sales</v>
      </c>
      <c r="G200" s="1" t="str">
        <f>_xlfn.XLOOKUP(B200,Mapping!A:A,Mapping!C:C)</f>
        <v>Revenue</v>
      </c>
    </row>
    <row r="201" spans="1:7">
      <c r="A201" s="1">
        <v>46234</v>
      </c>
      <c r="B201" s="1">
        <v>3100</v>
      </c>
      <c r="C201" s="1" t="s">
        <v>22</v>
      </c>
      <c r="D201" s="1" t="s">
        <v>23</v>
      </c>
      <c r="E201" s="1">
        <v>85583.4</v>
      </c>
      <c r="F201" s="1" t="str">
        <f>_xlfn.XLOOKUP(B201,Mapping!A:A,Mapping!B:B)</f>
        <v>Service Revenue</v>
      </c>
      <c r="G201" s="1" t="str">
        <f>_xlfn.XLOOKUP(B201,Mapping!A:A,Mapping!C:C)</f>
        <v>Revenue</v>
      </c>
    </row>
    <row r="202" spans="1:7">
      <c r="A202" s="1">
        <v>46234</v>
      </c>
      <c r="B202" s="1">
        <v>4000</v>
      </c>
      <c r="C202" s="1" t="s">
        <v>22</v>
      </c>
      <c r="D202" s="1" t="s">
        <v>23</v>
      </c>
      <c r="E202" s="1">
        <v>-133380.6</v>
      </c>
      <c r="F202" s="1" t="str">
        <f>_xlfn.XLOOKUP(B202,Mapping!A:A,Mapping!B:B)</f>
        <v>Materials</v>
      </c>
      <c r="G202" s="1" t="str">
        <f>_xlfn.XLOOKUP(B202,Mapping!A:A,Mapping!C:C)</f>
        <v>COGS</v>
      </c>
    </row>
    <row r="203" spans="1:7">
      <c r="A203" s="1">
        <v>46234</v>
      </c>
      <c r="B203" s="1">
        <v>4100</v>
      </c>
      <c r="C203" s="1" t="s">
        <v>22</v>
      </c>
      <c r="D203" s="1" t="s">
        <v>23</v>
      </c>
      <c r="E203" s="1">
        <v>-26859.3</v>
      </c>
      <c r="F203" s="1" t="str">
        <f>_xlfn.XLOOKUP(B203,Mapping!A:A,Mapping!B:B)</f>
        <v>Freight &amp; Logistics</v>
      </c>
      <c r="G203" s="1" t="str">
        <f>_xlfn.XLOOKUP(B203,Mapping!A:A,Mapping!C:C)</f>
        <v>COGS</v>
      </c>
    </row>
    <row r="204" spans="1:7">
      <c r="A204" s="1">
        <v>46234</v>
      </c>
      <c r="B204" s="1">
        <v>5000</v>
      </c>
      <c r="C204" s="1" t="s">
        <v>22</v>
      </c>
      <c r="D204" s="1" t="s">
        <v>23</v>
      </c>
      <c r="E204" s="1">
        <v>-74550</v>
      </c>
      <c r="F204" s="1" t="str">
        <f>_xlfn.XLOOKUP(B204,Mapping!A:A,Mapping!B:B)</f>
        <v>Salaries</v>
      </c>
      <c r="G204" s="1" t="str">
        <f>_xlfn.XLOOKUP(B204,Mapping!A:A,Mapping!C:C)</f>
        <v>Personnel</v>
      </c>
    </row>
    <row r="205" spans="1:7">
      <c r="A205" s="1">
        <v>46234</v>
      </c>
      <c r="B205" s="1">
        <v>5100</v>
      </c>
      <c r="C205" s="1" t="s">
        <v>22</v>
      </c>
      <c r="D205" s="1" t="s">
        <v>23</v>
      </c>
      <c r="E205" s="1">
        <v>-17002.73</v>
      </c>
      <c r="F205" s="1" t="str">
        <f>_xlfn.XLOOKUP(B205,Mapping!A:A,Mapping!B:B)</f>
        <v>Employee Benefits</v>
      </c>
      <c r="G205" s="1" t="str">
        <f>_xlfn.XLOOKUP(B205,Mapping!A:A,Mapping!C:C)</f>
        <v>Personnel</v>
      </c>
    </row>
    <row r="206" spans="1:7">
      <c r="A206" s="1">
        <v>46234</v>
      </c>
      <c r="B206" s="1">
        <v>6000</v>
      </c>
      <c r="C206" s="1" t="s">
        <v>22</v>
      </c>
      <c r="D206" s="1" t="s">
        <v>23</v>
      </c>
      <c r="E206" s="1">
        <v>-15815.25</v>
      </c>
      <c r="F206" s="1" t="str">
        <f>_xlfn.XLOOKUP(B206,Mapping!A:A,Mapping!B:B)</f>
        <v xml:space="preserve">Rent </v>
      </c>
      <c r="G206" s="1" t="str">
        <f>_xlfn.XLOOKUP(B206,Mapping!A:A,Mapping!C:C)</f>
        <v>Other OPEX</v>
      </c>
    </row>
    <row r="207" spans="1:7">
      <c r="A207" s="1">
        <v>46234</v>
      </c>
      <c r="B207" s="1">
        <v>6100</v>
      </c>
      <c r="C207" s="1" t="s">
        <v>22</v>
      </c>
      <c r="D207" s="1" t="s">
        <v>23</v>
      </c>
      <c r="E207" s="1">
        <v>-12492.45</v>
      </c>
      <c r="F207" s="1" t="str">
        <f>_xlfn.XLOOKUP(B207,Mapping!A:A,Mapping!B:B)</f>
        <v>IT &amp; Software</v>
      </c>
      <c r="G207" s="1" t="str">
        <f>_xlfn.XLOOKUP(B207,Mapping!A:A,Mapping!C:C)</f>
        <v>Other OPEX</v>
      </c>
    </row>
    <row r="208" spans="1:7">
      <c r="A208" s="1">
        <v>46234</v>
      </c>
      <c r="B208" s="1">
        <v>6200</v>
      </c>
      <c r="C208" s="1" t="s">
        <v>22</v>
      </c>
      <c r="D208" s="1" t="s">
        <v>23</v>
      </c>
      <c r="E208" s="1">
        <v>-9915.15</v>
      </c>
      <c r="F208" s="1" t="str">
        <f>_xlfn.XLOOKUP(B208,Mapping!A:A,Mapping!B:B)</f>
        <v>Marketing</v>
      </c>
      <c r="G208" s="1" t="str">
        <f>_xlfn.XLOOKUP(B208,Mapping!A:A,Mapping!C:C)</f>
        <v>Other OPEX</v>
      </c>
    </row>
    <row r="209" spans="1:7">
      <c r="A209" s="1">
        <v>46234</v>
      </c>
      <c r="B209" s="1">
        <v>6300</v>
      </c>
      <c r="C209" s="1" t="s">
        <v>22</v>
      </c>
      <c r="D209" s="1" t="s">
        <v>23</v>
      </c>
      <c r="E209" s="1">
        <v>-5593.38</v>
      </c>
      <c r="F209" s="1" t="str">
        <f>_xlfn.XLOOKUP(B209,Mapping!A:A,Mapping!B:B)</f>
        <v>Travel</v>
      </c>
      <c r="G209" s="1" t="str">
        <f>_xlfn.XLOOKUP(B209,Mapping!A:A,Mapping!C:C)</f>
        <v>Other OPEX</v>
      </c>
    </row>
    <row r="210" spans="1:7">
      <c r="A210" s="1">
        <v>46234</v>
      </c>
      <c r="B210" s="1">
        <v>6400</v>
      </c>
      <c r="C210" s="1" t="s">
        <v>22</v>
      </c>
      <c r="D210" s="1" t="s">
        <v>23</v>
      </c>
      <c r="E210" s="1">
        <v>-8057.79</v>
      </c>
      <c r="F210" s="1" t="str">
        <f>_xlfn.XLOOKUP(B210,Mapping!A:A,Mapping!B:B)</f>
        <v>Professional Services</v>
      </c>
      <c r="G210" s="1" t="str">
        <f>_xlfn.XLOOKUP(B210,Mapping!A:A,Mapping!C:C)</f>
        <v>Other OPEX</v>
      </c>
    </row>
    <row r="211" spans="1:7">
      <c r="A211" s="1">
        <v>46234</v>
      </c>
      <c r="B211" s="1">
        <v>3000</v>
      </c>
      <c r="C211" s="1" t="s">
        <v>24</v>
      </c>
      <c r="D211" s="1" t="s">
        <v>25</v>
      </c>
      <c r="E211" s="1">
        <v>263692.93</v>
      </c>
      <c r="F211" s="1" t="str">
        <f>_xlfn.XLOOKUP(B211,Mapping!A:A,Mapping!B:B)</f>
        <v>Product Sales</v>
      </c>
      <c r="G211" s="1" t="str">
        <f>_xlfn.XLOOKUP(B211,Mapping!A:A,Mapping!C:C)</f>
        <v>Revenue</v>
      </c>
    </row>
    <row r="212" spans="1:7">
      <c r="A212" s="1">
        <v>46234</v>
      </c>
      <c r="B212" s="1">
        <v>3100</v>
      </c>
      <c r="C212" s="1" t="s">
        <v>24</v>
      </c>
      <c r="D212" s="1" t="s">
        <v>25</v>
      </c>
      <c r="E212" s="1">
        <v>73042.81</v>
      </c>
      <c r="F212" s="1" t="str">
        <f>_xlfn.XLOOKUP(B212,Mapping!A:A,Mapping!B:B)</f>
        <v>Service Revenue</v>
      </c>
      <c r="G212" s="1" t="str">
        <f>_xlfn.XLOOKUP(B212,Mapping!A:A,Mapping!C:C)</f>
        <v>Revenue</v>
      </c>
    </row>
    <row r="213" spans="1:7">
      <c r="A213" s="1">
        <v>46234</v>
      </c>
      <c r="B213" s="1">
        <v>4000</v>
      </c>
      <c r="C213" s="1" t="s">
        <v>24</v>
      </c>
      <c r="D213" s="1" t="s">
        <v>25</v>
      </c>
      <c r="E213" s="1">
        <v>-106123.42</v>
      </c>
      <c r="F213" s="1" t="str">
        <f>_xlfn.XLOOKUP(B213,Mapping!A:A,Mapping!B:B)</f>
        <v>Materials</v>
      </c>
      <c r="G213" s="1" t="str">
        <f>_xlfn.XLOOKUP(B213,Mapping!A:A,Mapping!C:C)</f>
        <v>COGS</v>
      </c>
    </row>
    <row r="214" spans="1:7">
      <c r="A214" s="1">
        <v>46234</v>
      </c>
      <c r="B214" s="1">
        <v>4100</v>
      </c>
      <c r="C214" s="1" t="s">
        <v>24</v>
      </c>
      <c r="D214" s="1" t="s">
        <v>25</v>
      </c>
      <c r="E214" s="1">
        <v>-22932.86</v>
      </c>
      <c r="F214" s="1" t="str">
        <f>_xlfn.XLOOKUP(B214,Mapping!A:A,Mapping!B:B)</f>
        <v>Freight &amp; Logistics</v>
      </c>
      <c r="G214" s="1" t="str">
        <f>_xlfn.XLOOKUP(B214,Mapping!A:A,Mapping!C:C)</f>
        <v>COGS</v>
      </c>
    </row>
    <row r="215" spans="1:7">
      <c r="A215" s="1">
        <v>46234</v>
      </c>
      <c r="B215" s="1">
        <v>5000</v>
      </c>
      <c r="C215" s="1" t="s">
        <v>24</v>
      </c>
      <c r="D215" s="1" t="s">
        <v>25</v>
      </c>
      <c r="E215" s="1">
        <v>-59297.07</v>
      </c>
      <c r="F215" s="1" t="str">
        <f>_xlfn.XLOOKUP(B215,Mapping!A:A,Mapping!B:B)</f>
        <v>Salaries</v>
      </c>
      <c r="G215" s="1" t="str">
        <f>_xlfn.XLOOKUP(B215,Mapping!A:A,Mapping!C:C)</f>
        <v>Personnel</v>
      </c>
    </row>
    <row r="216" spans="1:7">
      <c r="A216" s="1">
        <v>46234</v>
      </c>
      <c r="B216" s="1">
        <v>5100</v>
      </c>
      <c r="C216" s="1" t="s">
        <v>24</v>
      </c>
      <c r="D216" s="1" t="s">
        <v>25</v>
      </c>
      <c r="E216" s="1">
        <v>-13536.15</v>
      </c>
      <c r="F216" s="1" t="str">
        <f>_xlfn.XLOOKUP(B216,Mapping!A:A,Mapping!B:B)</f>
        <v>Employee Benefits</v>
      </c>
      <c r="G216" s="1" t="str">
        <f>_xlfn.XLOOKUP(B216,Mapping!A:A,Mapping!C:C)</f>
        <v>Personnel</v>
      </c>
    </row>
    <row r="217" spans="1:7">
      <c r="A217" s="1">
        <v>46234</v>
      </c>
      <c r="B217" s="1">
        <v>6000</v>
      </c>
      <c r="C217" s="1" t="s">
        <v>24</v>
      </c>
      <c r="D217" s="1" t="s">
        <v>25</v>
      </c>
      <c r="E217" s="1">
        <v>-13492.49</v>
      </c>
      <c r="F217" s="1" t="str">
        <f>_xlfn.XLOOKUP(B217,Mapping!A:A,Mapping!B:B)</f>
        <v xml:space="preserve">Rent </v>
      </c>
      <c r="G217" s="1" t="str">
        <f>_xlfn.XLOOKUP(B217,Mapping!A:A,Mapping!C:C)</f>
        <v>Other OPEX</v>
      </c>
    </row>
    <row r="218" spans="1:7">
      <c r="A218" s="1">
        <v>46234</v>
      </c>
      <c r="B218" s="1">
        <v>6100</v>
      </c>
      <c r="C218" s="1" t="s">
        <v>24</v>
      </c>
      <c r="D218" s="1" t="s">
        <v>25</v>
      </c>
      <c r="E218" s="1">
        <v>-9942.52</v>
      </c>
      <c r="F218" s="1" t="str">
        <f>_xlfn.XLOOKUP(B218,Mapping!A:A,Mapping!B:B)</f>
        <v>IT &amp; Software</v>
      </c>
      <c r="G218" s="1" t="str">
        <f>_xlfn.XLOOKUP(B218,Mapping!A:A,Mapping!C:C)</f>
        <v>Other OPEX</v>
      </c>
    </row>
    <row r="219" spans="1:7">
      <c r="A219" s="1">
        <v>46234</v>
      </c>
      <c r="B219" s="1">
        <v>6200</v>
      </c>
      <c r="C219" s="1" t="s">
        <v>24</v>
      </c>
      <c r="D219" s="1" t="s">
        <v>25</v>
      </c>
      <c r="E219" s="1">
        <v>-8462.2800000000007</v>
      </c>
      <c r="F219" s="1" t="str">
        <f>_xlfn.XLOOKUP(B219,Mapping!A:A,Mapping!B:B)</f>
        <v>Marketing</v>
      </c>
      <c r="G219" s="1" t="str">
        <f>_xlfn.XLOOKUP(B219,Mapping!A:A,Mapping!C:C)</f>
        <v>Other OPEX</v>
      </c>
    </row>
    <row r="220" spans="1:7">
      <c r="A220" s="1">
        <v>46234</v>
      </c>
      <c r="B220" s="1">
        <v>6300</v>
      </c>
      <c r="C220" s="1" t="s">
        <v>24</v>
      </c>
      <c r="D220" s="1" t="s">
        <v>25</v>
      </c>
      <c r="E220" s="1">
        <v>-4450.34</v>
      </c>
      <c r="F220" s="1" t="str">
        <f>_xlfn.XLOOKUP(B220,Mapping!A:A,Mapping!B:B)</f>
        <v>Travel</v>
      </c>
      <c r="G220" s="1" t="str">
        <f>_xlfn.XLOOKUP(B220,Mapping!A:A,Mapping!C:C)</f>
        <v>Other OPEX</v>
      </c>
    </row>
    <row r="221" spans="1:7">
      <c r="A221" s="1">
        <v>46234</v>
      </c>
      <c r="B221" s="1">
        <v>6400</v>
      </c>
      <c r="C221" s="1" t="s">
        <v>24</v>
      </c>
      <c r="D221" s="1" t="s">
        <v>25</v>
      </c>
      <c r="E221" s="1">
        <v>-6879.86</v>
      </c>
      <c r="F221" s="1" t="str">
        <f>_xlfn.XLOOKUP(B221,Mapping!A:A,Mapping!B:B)</f>
        <v>Professional Services</v>
      </c>
      <c r="G221" s="1" t="str">
        <f>_xlfn.XLOOKUP(B221,Mapping!A:A,Mapping!C:C)</f>
        <v>Other OPEX</v>
      </c>
    </row>
    <row r="222" spans="1:7">
      <c r="A222" s="1">
        <v>46234</v>
      </c>
      <c r="B222" s="1">
        <v>3000</v>
      </c>
      <c r="C222" s="1" t="s">
        <v>26</v>
      </c>
      <c r="D222" s="1" t="s">
        <v>27</v>
      </c>
      <c r="E222" s="1">
        <v>194050.46</v>
      </c>
      <c r="F222" s="1" t="str">
        <f>_xlfn.XLOOKUP(B222,Mapping!A:A,Mapping!B:B)</f>
        <v>Product Sales</v>
      </c>
      <c r="G222" s="1" t="str">
        <f>_xlfn.XLOOKUP(B222,Mapping!A:A,Mapping!C:C)</f>
        <v>Revenue</v>
      </c>
    </row>
    <row r="223" spans="1:7">
      <c r="A223" s="1">
        <v>46234</v>
      </c>
      <c r="B223" s="1">
        <v>3100</v>
      </c>
      <c r="C223" s="1" t="s">
        <v>26</v>
      </c>
      <c r="D223" s="1" t="s">
        <v>27</v>
      </c>
      <c r="E223" s="1">
        <v>50144.89</v>
      </c>
      <c r="F223" s="1" t="str">
        <f>_xlfn.XLOOKUP(B223,Mapping!A:A,Mapping!B:B)</f>
        <v>Service Revenue</v>
      </c>
      <c r="G223" s="1" t="str">
        <f>_xlfn.XLOOKUP(B223,Mapping!A:A,Mapping!C:C)</f>
        <v>Revenue</v>
      </c>
    </row>
    <row r="224" spans="1:7">
      <c r="A224" s="1">
        <v>46234</v>
      </c>
      <c r="B224" s="1">
        <v>4000</v>
      </c>
      <c r="C224" s="1" t="s">
        <v>26</v>
      </c>
      <c r="D224" s="1" t="s">
        <v>27</v>
      </c>
      <c r="E224" s="1">
        <v>-78126.7</v>
      </c>
      <c r="F224" s="1" t="str">
        <f>_xlfn.XLOOKUP(B224,Mapping!A:A,Mapping!B:B)</f>
        <v>Materials</v>
      </c>
      <c r="G224" s="1" t="str">
        <f>_xlfn.XLOOKUP(B224,Mapping!A:A,Mapping!C:C)</f>
        <v>COGS</v>
      </c>
    </row>
    <row r="225" spans="1:7">
      <c r="A225" s="1">
        <v>46234</v>
      </c>
      <c r="B225" s="1">
        <v>4100</v>
      </c>
      <c r="C225" s="1" t="s">
        <v>26</v>
      </c>
      <c r="D225" s="1" t="s">
        <v>27</v>
      </c>
      <c r="E225" s="1">
        <v>-15739</v>
      </c>
      <c r="F225" s="1" t="str">
        <f>_xlfn.XLOOKUP(B225,Mapping!A:A,Mapping!B:B)</f>
        <v>Freight &amp; Logistics</v>
      </c>
      <c r="G225" s="1" t="str">
        <f>_xlfn.XLOOKUP(B225,Mapping!A:A,Mapping!C:C)</f>
        <v>COGS</v>
      </c>
    </row>
    <row r="226" spans="1:7">
      <c r="A226" s="1">
        <v>46234</v>
      </c>
      <c r="B226" s="1">
        <v>5000</v>
      </c>
      <c r="C226" s="1" t="s">
        <v>26</v>
      </c>
      <c r="D226" s="1" t="s">
        <v>27</v>
      </c>
      <c r="E226" s="1">
        <v>-43671.39</v>
      </c>
      <c r="F226" s="1" t="str">
        <f>_xlfn.XLOOKUP(B226,Mapping!A:A,Mapping!B:B)</f>
        <v>Salaries</v>
      </c>
      <c r="G226" s="1" t="str">
        <f>_xlfn.XLOOKUP(B226,Mapping!A:A,Mapping!C:C)</f>
        <v>Personnel</v>
      </c>
    </row>
    <row r="227" spans="1:7">
      <c r="A227" s="1">
        <v>46234</v>
      </c>
      <c r="B227" s="1">
        <v>5100</v>
      </c>
      <c r="C227" s="1" t="s">
        <v>26</v>
      </c>
      <c r="D227" s="1" t="s">
        <v>27</v>
      </c>
      <c r="E227" s="1">
        <v>-9287.1200000000008</v>
      </c>
      <c r="F227" s="1" t="str">
        <f>_xlfn.XLOOKUP(B227,Mapping!A:A,Mapping!B:B)</f>
        <v>Employee Benefits</v>
      </c>
      <c r="G227" s="1" t="str">
        <f>_xlfn.XLOOKUP(B227,Mapping!A:A,Mapping!C:C)</f>
        <v>Personnel</v>
      </c>
    </row>
    <row r="228" spans="1:7">
      <c r="A228" s="1">
        <v>46234</v>
      </c>
      <c r="B228" s="1">
        <v>6000</v>
      </c>
      <c r="C228" s="1" t="s">
        <v>26</v>
      </c>
      <c r="D228" s="1" t="s">
        <v>27</v>
      </c>
      <c r="E228" s="1">
        <v>-9265.5</v>
      </c>
      <c r="F228" s="1" t="str">
        <f>_xlfn.XLOOKUP(B228,Mapping!A:A,Mapping!B:B)</f>
        <v xml:space="preserve">Rent </v>
      </c>
      <c r="G228" s="1" t="str">
        <f>_xlfn.XLOOKUP(B228,Mapping!A:A,Mapping!C:C)</f>
        <v>Other OPEX</v>
      </c>
    </row>
    <row r="229" spans="1:7">
      <c r="A229" s="1">
        <v>46234</v>
      </c>
      <c r="B229" s="1">
        <v>6100</v>
      </c>
      <c r="C229" s="1" t="s">
        <v>26</v>
      </c>
      <c r="D229" s="1" t="s">
        <v>27</v>
      </c>
      <c r="E229" s="1">
        <v>-7316.66</v>
      </c>
      <c r="F229" s="1" t="str">
        <f>_xlfn.XLOOKUP(B229,Mapping!A:A,Mapping!B:B)</f>
        <v>IT &amp; Software</v>
      </c>
      <c r="G229" s="1" t="str">
        <f>_xlfn.XLOOKUP(B229,Mapping!A:A,Mapping!C:C)</f>
        <v>Other OPEX</v>
      </c>
    </row>
    <row r="230" spans="1:7">
      <c r="A230" s="1">
        <v>46234</v>
      </c>
      <c r="B230" s="1">
        <v>6200</v>
      </c>
      <c r="C230" s="1" t="s">
        <v>26</v>
      </c>
      <c r="D230" s="1" t="s">
        <v>27</v>
      </c>
      <c r="E230" s="1">
        <v>-5809.47</v>
      </c>
      <c r="F230" s="1" t="str">
        <f>_xlfn.XLOOKUP(B230,Mapping!A:A,Mapping!B:B)</f>
        <v>Marketing</v>
      </c>
      <c r="G230" s="1" t="str">
        <f>_xlfn.XLOOKUP(B230,Mapping!A:A,Mapping!C:C)</f>
        <v>Other OPEX</v>
      </c>
    </row>
    <row r="231" spans="1:7">
      <c r="A231" s="1">
        <v>46234</v>
      </c>
      <c r="B231" s="1">
        <v>6300</v>
      </c>
      <c r="C231" s="1" t="s">
        <v>26</v>
      </c>
      <c r="D231" s="1" t="s">
        <v>27</v>
      </c>
      <c r="E231" s="1">
        <v>-3276.28</v>
      </c>
      <c r="F231" s="1" t="str">
        <f>_xlfn.XLOOKUP(B231,Mapping!A:A,Mapping!B:B)</f>
        <v>Travel</v>
      </c>
      <c r="G231" s="1" t="str">
        <f>_xlfn.XLOOKUP(B231,Mapping!A:A,Mapping!C:C)</f>
        <v>Other OPEX</v>
      </c>
    </row>
    <row r="232" spans="1:7">
      <c r="A232" s="1">
        <v>46234</v>
      </c>
      <c r="B232" s="1">
        <v>6400</v>
      </c>
      <c r="C232" s="1" t="s">
        <v>26</v>
      </c>
      <c r="D232" s="1" t="s">
        <v>27</v>
      </c>
      <c r="E232" s="1">
        <v>-4721.7</v>
      </c>
      <c r="F232" s="1" t="str">
        <f>_xlfn.XLOOKUP(B232,Mapping!A:A,Mapping!B:B)</f>
        <v>Professional Services</v>
      </c>
      <c r="G232" s="1" t="str">
        <f>_xlfn.XLOOKUP(B232,Mapping!A:A,Mapping!C:C)</f>
        <v>Other OPEX</v>
      </c>
    </row>
    <row r="233" spans="1:7">
      <c r="A233" s="1">
        <v>46265</v>
      </c>
      <c r="B233" s="1">
        <v>3000</v>
      </c>
      <c r="C233" s="1" t="s">
        <v>22</v>
      </c>
      <c r="D233" s="1" t="s">
        <v>23</v>
      </c>
      <c r="E233" s="1">
        <v>319518</v>
      </c>
      <c r="F233" s="1" t="str">
        <f>_xlfn.XLOOKUP(B233,Mapping!A:A,Mapping!B:B)</f>
        <v>Product Sales</v>
      </c>
      <c r="G233" s="1" t="str">
        <f>_xlfn.XLOOKUP(B233,Mapping!A:A,Mapping!C:C)</f>
        <v>Revenue</v>
      </c>
    </row>
    <row r="234" spans="1:7">
      <c r="A234" s="1">
        <v>46265</v>
      </c>
      <c r="B234" s="1">
        <v>3100</v>
      </c>
      <c r="C234" s="1" t="s">
        <v>22</v>
      </c>
      <c r="D234" s="1" t="s">
        <v>23</v>
      </c>
      <c r="E234" s="1">
        <v>88560</v>
      </c>
      <c r="F234" s="1" t="str">
        <f>_xlfn.XLOOKUP(B234,Mapping!A:A,Mapping!B:B)</f>
        <v>Service Revenue</v>
      </c>
      <c r="G234" s="1" t="str">
        <f>_xlfn.XLOOKUP(B234,Mapping!A:A,Mapping!C:C)</f>
        <v>Revenue</v>
      </c>
    </row>
    <row r="235" spans="1:7">
      <c r="A235" s="1">
        <v>46265</v>
      </c>
      <c r="B235" s="1">
        <v>4000</v>
      </c>
      <c r="C235" s="1" t="s">
        <v>22</v>
      </c>
      <c r="D235" s="1" t="s">
        <v>23</v>
      </c>
      <c r="E235" s="1">
        <v>-137937.60000000001</v>
      </c>
      <c r="F235" s="1" t="str">
        <f>_xlfn.XLOOKUP(B235,Mapping!A:A,Mapping!B:B)</f>
        <v>Materials</v>
      </c>
      <c r="G235" s="1" t="str">
        <f>_xlfn.XLOOKUP(B235,Mapping!A:A,Mapping!C:C)</f>
        <v>COGS</v>
      </c>
    </row>
    <row r="236" spans="1:7">
      <c r="A236" s="1">
        <v>46265</v>
      </c>
      <c r="B236" s="1">
        <v>4100</v>
      </c>
      <c r="C236" s="1" t="s">
        <v>22</v>
      </c>
      <c r="D236" s="1" t="s">
        <v>23</v>
      </c>
      <c r="E236" s="1">
        <v>-27799.200000000001</v>
      </c>
      <c r="F236" s="1" t="str">
        <f>_xlfn.XLOOKUP(B236,Mapping!A:A,Mapping!B:B)</f>
        <v>Freight &amp; Logistics</v>
      </c>
      <c r="G236" s="1" t="str">
        <f>_xlfn.XLOOKUP(B236,Mapping!A:A,Mapping!C:C)</f>
        <v>COGS</v>
      </c>
    </row>
    <row r="237" spans="1:7">
      <c r="A237" s="1">
        <v>46265</v>
      </c>
      <c r="B237" s="1">
        <v>5000</v>
      </c>
      <c r="C237" s="1" t="s">
        <v>22</v>
      </c>
      <c r="D237" s="1" t="s">
        <v>23</v>
      </c>
      <c r="E237" s="1">
        <v>-77112</v>
      </c>
      <c r="F237" s="1" t="str">
        <f>_xlfn.XLOOKUP(B237,Mapping!A:A,Mapping!B:B)</f>
        <v>Salaries</v>
      </c>
      <c r="G237" s="1" t="str">
        <f>_xlfn.XLOOKUP(B237,Mapping!A:A,Mapping!C:C)</f>
        <v>Personnel</v>
      </c>
    </row>
    <row r="238" spans="1:7">
      <c r="A238" s="1">
        <v>46265</v>
      </c>
      <c r="B238" s="1">
        <v>5100</v>
      </c>
      <c r="C238" s="1" t="s">
        <v>22</v>
      </c>
      <c r="D238" s="1" t="s">
        <v>23</v>
      </c>
      <c r="E238" s="1">
        <v>-16405.2</v>
      </c>
      <c r="F238" s="1" t="str">
        <f>_xlfn.XLOOKUP(B238,Mapping!A:A,Mapping!B:B)</f>
        <v>Employee Benefits</v>
      </c>
      <c r="G238" s="1" t="str">
        <f>_xlfn.XLOOKUP(B238,Mapping!A:A,Mapping!C:C)</f>
        <v>Personnel</v>
      </c>
    </row>
    <row r="239" spans="1:7">
      <c r="A239" s="1">
        <v>46265</v>
      </c>
      <c r="B239" s="1">
        <v>6000</v>
      </c>
      <c r="C239" s="1" t="s">
        <v>22</v>
      </c>
      <c r="D239" s="1" t="s">
        <v>23</v>
      </c>
      <c r="E239" s="1">
        <v>-16362</v>
      </c>
      <c r="F239" s="1" t="str">
        <f>_xlfn.XLOOKUP(B239,Mapping!A:A,Mapping!B:B)</f>
        <v xml:space="preserve">Rent </v>
      </c>
      <c r="G239" s="1" t="str">
        <f>_xlfn.XLOOKUP(B239,Mapping!A:A,Mapping!C:C)</f>
        <v>Other OPEX</v>
      </c>
    </row>
    <row r="240" spans="1:7">
      <c r="A240" s="1">
        <v>46265</v>
      </c>
      <c r="B240" s="1">
        <v>6100</v>
      </c>
      <c r="C240" s="1" t="s">
        <v>22</v>
      </c>
      <c r="D240" s="1" t="s">
        <v>23</v>
      </c>
      <c r="E240" s="1">
        <v>-12047.4</v>
      </c>
      <c r="F240" s="1" t="str">
        <f>_xlfn.XLOOKUP(B240,Mapping!A:A,Mapping!B:B)</f>
        <v>IT &amp; Software</v>
      </c>
      <c r="G240" s="1" t="str">
        <f>_xlfn.XLOOKUP(B240,Mapping!A:A,Mapping!C:C)</f>
        <v>Other OPEX</v>
      </c>
    </row>
    <row r="241" spans="1:7">
      <c r="A241" s="1">
        <v>46265</v>
      </c>
      <c r="B241" s="1">
        <v>6200</v>
      </c>
      <c r="C241" s="1" t="s">
        <v>22</v>
      </c>
      <c r="D241" s="1" t="s">
        <v>23</v>
      </c>
      <c r="E241" s="1">
        <v>-10260</v>
      </c>
      <c r="F241" s="1" t="str">
        <f>_xlfn.XLOOKUP(B241,Mapping!A:A,Mapping!B:B)</f>
        <v>Marketing</v>
      </c>
      <c r="G241" s="1" t="str">
        <f>_xlfn.XLOOKUP(B241,Mapping!A:A,Mapping!C:C)</f>
        <v>Other OPEX</v>
      </c>
    </row>
    <row r="242" spans="1:7">
      <c r="A242" s="1">
        <v>46265</v>
      </c>
      <c r="B242" s="1">
        <v>6300</v>
      </c>
      <c r="C242" s="1" t="s">
        <v>22</v>
      </c>
      <c r="D242" s="1" t="s">
        <v>23</v>
      </c>
      <c r="E242" s="1">
        <v>-5784.48</v>
      </c>
      <c r="F242" s="1" t="str">
        <f>_xlfn.XLOOKUP(B242,Mapping!A:A,Mapping!B:B)</f>
        <v>Travel</v>
      </c>
      <c r="G242" s="1" t="str">
        <f>_xlfn.XLOOKUP(B242,Mapping!A:A,Mapping!C:C)</f>
        <v>Other OPEX</v>
      </c>
    </row>
    <row r="243" spans="1:7">
      <c r="A243" s="1">
        <v>46265</v>
      </c>
      <c r="B243" s="1">
        <v>6400</v>
      </c>
      <c r="C243" s="1" t="s">
        <v>22</v>
      </c>
      <c r="D243" s="1" t="s">
        <v>23</v>
      </c>
      <c r="E243" s="1">
        <v>-8339.76</v>
      </c>
      <c r="F243" s="1" t="str">
        <f>_xlfn.XLOOKUP(B243,Mapping!A:A,Mapping!B:B)</f>
        <v>Professional Services</v>
      </c>
      <c r="G243" s="1" t="str">
        <f>_xlfn.XLOOKUP(B243,Mapping!A:A,Mapping!C:C)</f>
        <v>Other OPEX</v>
      </c>
    </row>
    <row r="244" spans="1:7">
      <c r="A244" s="1">
        <v>46265</v>
      </c>
      <c r="B244" s="1">
        <v>3000</v>
      </c>
      <c r="C244" s="1" t="s">
        <v>24</v>
      </c>
      <c r="D244" s="1" t="s">
        <v>25</v>
      </c>
      <c r="E244" s="1">
        <v>272809.08</v>
      </c>
      <c r="F244" s="1" t="str">
        <f>_xlfn.XLOOKUP(B244,Mapping!A:A,Mapping!B:B)</f>
        <v>Product Sales</v>
      </c>
      <c r="G244" s="1" t="str">
        <f>_xlfn.XLOOKUP(B244,Mapping!A:A,Mapping!C:C)</f>
        <v>Revenue</v>
      </c>
    </row>
    <row r="245" spans="1:7">
      <c r="A245" s="1">
        <v>46265</v>
      </c>
      <c r="B245" s="1">
        <v>3100</v>
      </c>
      <c r="C245" s="1" t="s">
        <v>24</v>
      </c>
      <c r="D245" s="1" t="s">
        <v>25</v>
      </c>
      <c r="E245" s="1">
        <v>70440.62</v>
      </c>
      <c r="F245" s="1" t="str">
        <f>_xlfn.XLOOKUP(B245,Mapping!A:A,Mapping!B:B)</f>
        <v>Service Revenue</v>
      </c>
      <c r="G245" s="1" t="str">
        <f>_xlfn.XLOOKUP(B245,Mapping!A:A,Mapping!C:C)</f>
        <v>Revenue</v>
      </c>
    </row>
    <row r="246" spans="1:7">
      <c r="A246" s="1">
        <v>46265</v>
      </c>
      <c r="B246" s="1">
        <v>4000</v>
      </c>
      <c r="C246" s="1" t="s">
        <v>24</v>
      </c>
      <c r="D246" s="1" t="s">
        <v>25</v>
      </c>
      <c r="E246" s="1">
        <v>-109814.39999999999</v>
      </c>
      <c r="F246" s="1" t="str">
        <f>_xlfn.XLOOKUP(B246,Mapping!A:A,Mapping!B:B)</f>
        <v>Materials</v>
      </c>
      <c r="G246" s="1" t="str">
        <f>_xlfn.XLOOKUP(B246,Mapping!A:A,Mapping!C:C)</f>
        <v>COGS</v>
      </c>
    </row>
    <row r="247" spans="1:7">
      <c r="A247" s="1">
        <v>46265</v>
      </c>
      <c r="B247" s="1">
        <v>4100</v>
      </c>
      <c r="C247" s="1" t="s">
        <v>24</v>
      </c>
      <c r="D247" s="1" t="s">
        <v>25</v>
      </c>
      <c r="E247" s="1">
        <v>-23716.37</v>
      </c>
      <c r="F247" s="1" t="str">
        <f>_xlfn.XLOOKUP(B247,Mapping!A:A,Mapping!B:B)</f>
        <v>Freight &amp; Logistics</v>
      </c>
      <c r="G247" s="1" t="str">
        <f>_xlfn.XLOOKUP(B247,Mapping!A:A,Mapping!C:C)</f>
        <v>COGS</v>
      </c>
    </row>
    <row r="248" spans="1:7">
      <c r="A248" s="1">
        <v>46265</v>
      </c>
      <c r="B248" s="1">
        <v>5000</v>
      </c>
      <c r="C248" s="1" t="s">
        <v>24</v>
      </c>
      <c r="D248" s="1" t="s">
        <v>25</v>
      </c>
      <c r="E248" s="1">
        <v>-61372.08</v>
      </c>
      <c r="F248" s="1" t="str">
        <f>_xlfn.XLOOKUP(B248,Mapping!A:A,Mapping!B:B)</f>
        <v>Salaries</v>
      </c>
      <c r="G248" s="1" t="str">
        <f>_xlfn.XLOOKUP(B248,Mapping!A:A,Mapping!C:C)</f>
        <v>Personnel</v>
      </c>
    </row>
    <row r="249" spans="1:7">
      <c r="A249" s="1">
        <v>46265</v>
      </c>
      <c r="B249" s="1">
        <v>5100</v>
      </c>
      <c r="C249" s="1" t="s">
        <v>24</v>
      </c>
      <c r="D249" s="1" t="s">
        <v>25</v>
      </c>
      <c r="E249" s="1">
        <v>-14001.34</v>
      </c>
      <c r="F249" s="1" t="str">
        <f>_xlfn.XLOOKUP(B249,Mapping!A:A,Mapping!B:B)</f>
        <v>Employee Benefits</v>
      </c>
      <c r="G249" s="1" t="str">
        <f>_xlfn.XLOOKUP(B249,Mapping!A:A,Mapping!C:C)</f>
        <v>Personnel</v>
      </c>
    </row>
    <row r="250" spans="1:7">
      <c r="A250" s="1">
        <v>46265</v>
      </c>
      <c r="B250" s="1">
        <v>6000</v>
      </c>
      <c r="C250" s="1" t="s">
        <v>24</v>
      </c>
      <c r="D250" s="1" t="s">
        <v>25</v>
      </c>
      <c r="E250" s="1">
        <v>-13018.32</v>
      </c>
      <c r="F250" s="1" t="str">
        <f>_xlfn.XLOOKUP(B250,Mapping!A:A,Mapping!B:B)</f>
        <v xml:space="preserve">Rent </v>
      </c>
      <c r="G250" s="1" t="str">
        <f>_xlfn.XLOOKUP(B250,Mapping!A:A,Mapping!C:C)</f>
        <v>Other OPEX</v>
      </c>
    </row>
    <row r="251" spans="1:7">
      <c r="A251" s="1">
        <v>46265</v>
      </c>
      <c r="B251" s="1">
        <v>6100</v>
      </c>
      <c r="C251" s="1" t="s">
        <v>24</v>
      </c>
      <c r="D251" s="1" t="s">
        <v>25</v>
      </c>
      <c r="E251" s="1">
        <v>-10286.24</v>
      </c>
      <c r="F251" s="1" t="str">
        <f>_xlfn.XLOOKUP(B251,Mapping!A:A,Mapping!B:B)</f>
        <v>IT &amp; Software</v>
      </c>
      <c r="G251" s="1" t="str">
        <f>_xlfn.XLOOKUP(B251,Mapping!A:A,Mapping!C:C)</f>
        <v>Other OPEX</v>
      </c>
    </row>
    <row r="252" spans="1:7">
      <c r="A252" s="1">
        <v>46265</v>
      </c>
      <c r="B252" s="1">
        <v>6200</v>
      </c>
      <c r="C252" s="1" t="s">
        <v>24</v>
      </c>
      <c r="D252" s="1" t="s">
        <v>25</v>
      </c>
      <c r="E252" s="1">
        <v>-8160.8</v>
      </c>
      <c r="F252" s="1" t="str">
        <f>_xlfn.XLOOKUP(B252,Mapping!A:A,Mapping!B:B)</f>
        <v>Marketing</v>
      </c>
      <c r="G252" s="1" t="str">
        <f>_xlfn.XLOOKUP(B252,Mapping!A:A,Mapping!C:C)</f>
        <v>Other OPEX</v>
      </c>
    </row>
    <row r="253" spans="1:7">
      <c r="A253" s="1">
        <v>46265</v>
      </c>
      <c r="B253" s="1">
        <v>6300</v>
      </c>
      <c r="C253" s="1" t="s">
        <v>24</v>
      </c>
      <c r="D253" s="1" t="s">
        <v>25</v>
      </c>
      <c r="E253" s="1">
        <v>-4605.12</v>
      </c>
      <c r="F253" s="1" t="str">
        <f>_xlfn.XLOOKUP(B253,Mapping!A:A,Mapping!B:B)</f>
        <v>Travel</v>
      </c>
      <c r="G253" s="1" t="str">
        <f>_xlfn.XLOOKUP(B253,Mapping!A:A,Mapping!C:C)</f>
        <v>Other OPEX</v>
      </c>
    </row>
    <row r="254" spans="1:7">
      <c r="A254" s="1">
        <v>46265</v>
      </c>
      <c r="B254" s="1">
        <v>6400</v>
      </c>
      <c r="C254" s="1" t="s">
        <v>24</v>
      </c>
      <c r="D254" s="1" t="s">
        <v>25</v>
      </c>
      <c r="E254" s="1">
        <v>-7114.91</v>
      </c>
      <c r="F254" s="1" t="str">
        <f>_xlfn.XLOOKUP(B254,Mapping!A:A,Mapping!B:B)</f>
        <v>Professional Services</v>
      </c>
      <c r="G254" s="1" t="str">
        <f>_xlfn.XLOOKUP(B254,Mapping!A:A,Mapping!C:C)</f>
        <v>Other OPEX</v>
      </c>
    </row>
    <row r="255" spans="1:7">
      <c r="A255" s="1">
        <v>46265</v>
      </c>
      <c r="B255" s="1">
        <v>3000</v>
      </c>
      <c r="C255" s="1" t="s">
        <v>26</v>
      </c>
      <c r="D255" s="1" t="s">
        <v>27</v>
      </c>
      <c r="E255" s="1">
        <v>187230.96</v>
      </c>
      <c r="F255" s="1" t="str">
        <f>_xlfn.XLOOKUP(B255,Mapping!A:A,Mapping!B:B)</f>
        <v>Product Sales</v>
      </c>
      <c r="G255" s="1" t="str">
        <f>_xlfn.XLOOKUP(B255,Mapping!A:A,Mapping!C:C)</f>
        <v>Revenue</v>
      </c>
    </row>
    <row r="256" spans="1:7">
      <c r="A256" s="1">
        <v>46265</v>
      </c>
      <c r="B256" s="1">
        <v>3100</v>
      </c>
      <c r="C256" s="1" t="s">
        <v>26</v>
      </c>
      <c r="D256" s="1" t="s">
        <v>27</v>
      </c>
      <c r="E256" s="1">
        <v>51878.45</v>
      </c>
      <c r="F256" s="1" t="str">
        <f>_xlfn.XLOOKUP(B256,Mapping!A:A,Mapping!B:B)</f>
        <v>Service Revenue</v>
      </c>
      <c r="G256" s="1" t="str">
        <f>_xlfn.XLOOKUP(B256,Mapping!A:A,Mapping!C:C)</f>
        <v>Revenue</v>
      </c>
    </row>
    <row r="257" spans="1:7">
      <c r="A257" s="1">
        <v>46265</v>
      </c>
      <c r="B257" s="1">
        <v>4000</v>
      </c>
      <c r="C257" s="1" t="s">
        <v>26</v>
      </c>
      <c r="D257" s="1" t="s">
        <v>27</v>
      </c>
      <c r="E257" s="1">
        <v>-75343.39</v>
      </c>
      <c r="F257" s="1" t="str">
        <f>_xlfn.XLOOKUP(B257,Mapping!A:A,Mapping!B:B)</f>
        <v>Materials</v>
      </c>
      <c r="G257" s="1" t="str">
        <f>_xlfn.XLOOKUP(B257,Mapping!A:A,Mapping!C:C)</f>
        <v>COGS</v>
      </c>
    </row>
    <row r="258" spans="1:7">
      <c r="A258" s="1">
        <v>46265</v>
      </c>
      <c r="B258" s="1">
        <v>4100</v>
      </c>
      <c r="C258" s="1" t="s">
        <v>26</v>
      </c>
      <c r="D258" s="1" t="s">
        <v>27</v>
      </c>
      <c r="E258" s="1">
        <v>-16286.4</v>
      </c>
      <c r="F258" s="1" t="str">
        <f>_xlfn.XLOOKUP(B258,Mapping!A:A,Mapping!B:B)</f>
        <v>Freight &amp; Logistics</v>
      </c>
      <c r="G258" s="1" t="str">
        <f>_xlfn.XLOOKUP(B258,Mapping!A:A,Mapping!C:C)</f>
        <v>COGS</v>
      </c>
    </row>
    <row r="259" spans="1:7">
      <c r="A259" s="1">
        <v>46265</v>
      </c>
      <c r="B259" s="1">
        <v>5000</v>
      </c>
      <c r="C259" s="1" t="s">
        <v>26</v>
      </c>
      <c r="D259" s="1" t="s">
        <v>27</v>
      </c>
      <c r="E259" s="1">
        <v>-45163.44</v>
      </c>
      <c r="F259" s="1" t="str">
        <f>_xlfn.XLOOKUP(B259,Mapping!A:A,Mapping!B:B)</f>
        <v>Salaries</v>
      </c>
      <c r="G259" s="1" t="str">
        <f>_xlfn.XLOOKUP(B259,Mapping!A:A,Mapping!C:C)</f>
        <v>Personnel</v>
      </c>
    </row>
    <row r="260" spans="1:7">
      <c r="A260" s="1">
        <v>46265</v>
      </c>
      <c r="B260" s="1">
        <v>5100</v>
      </c>
      <c r="C260" s="1" t="s">
        <v>26</v>
      </c>
      <c r="D260" s="1" t="s">
        <v>27</v>
      </c>
      <c r="E260" s="1">
        <v>-9612.11</v>
      </c>
      <c r="F260" s="1" t="str">
        <f>_xlfn.XLOOKUP(B260,Mapping!A:A,Mapping!B:B)</f>
        <v>Employee Benefits</v>
      </c>
      <c r="G260" s="1" t="str">
        <f>_xlfn.XLOOKUP(B260,Mapping!A:A,Mapping!C:C)</f>
        <v>Personnel</v>
      </c>
    </row>
    <row r="261" spans="1:7">
      <c r="A261" s="1">
        <v>46265</v>
      </c>
      <c r="B261" s="1">
        <v>6000</v>
      </c>
      <c r="C261" s="1" t="s">
        <v>26</v>
      </c>
      <c r="D261" s="1" t="s">
        <v>27</v>
      </c>
      <c r="E261" s="1">
        <v>-9583.92</v>
      </c>
      <c r="F261" s="1" t="str">
        <f>_xlfn.XLOOKUP(B261,Mapping!A:A,Mapping!B:B)</f>
        <v xml:space="preserve">Rent </v>
      </c>
      <c r="G261" s="1" t="str">
        <f>_xlfn.XLOOKUP(B261,Mapping!A:A,Mapping!C:C)</f>
        <v>Other OPEX</v>
      </c>
    </row>
    <row r="262" spans="1:7">
      <c r="A262" s="1">
        <v>46265</v>
      </c>
      <c r="B262" s="1">
        <v>6100</v>
      </c>
      <c r="C262" s="1" t="s">
        <v>26</v>
      </c>
      <c r="D262" s="1" t="s">
        <v>27</v>
      </c>
      <c r="E262" s="1">
        <v>-7059.53</v>
      </c>
      <c r="F262" s="1" t="str">
        <f>_xlfn.XLOOKUP(B262,Mapping!A:A,Mapping!B:B)</f>
        <v>IT &amp; Software</v>
      </c>
      <c r="G262" s="1" t="str">
        <f>_xlfn.XLOOKUP(B262,Mapping!A:A,Mapping!C:C)</f>
        <v>Other OPEX</v>
      </c>
    </row>
    <row r="263" spans="1:7">
      <c r="A263" s="1">
        <v>46265</v>
      </c>
      <c r="B263" s="1">
        <v>6200</v>
      </c>
      <c r="C263" s="1" t="s">
        <v>26</v>
      </c>
      <c r="D263" s="1" t="s">
        <v>27</v>
      </c>
      <c r="E263" s="1">
        <v>-6010.31</v>
      </c>
      <c r="F263" s="1" t="str">
        <f>_xlfn.XLOOKUP(B263,Mapping!A:A,Mapping!B:B)</f>
        <v>Marketing</v>
      </c>
      <c r="G263" s="1" t="str">
        <f>_xlfn.XLOOKUP(B263,Mapping!A:A,Mapping!C:C)</f>
        <v>Other OPEX</v>
      </c>
    </row>
    <row r="264" spans="1:7">
      <c r="A264" s="1">
        <v>46265</v>
      </c>
      <c r="B264" s="1">
        <v>6300</v>
      </c>
      <c r="C264" s="1" t="s">
        <v>26</v>
      </c>
      <c r="D264" s="1" t="s">
        <v>27</v>
      </c>
      <c r="E264" s="1">
        <v>-3159.56</v>
      </c>
      <c r="F264" s="1" t="str">
        <f>_xlfn.XLOOKUP(B264,Mapping!A:A,Mapping!B:B)</f>
        <v>Travel</v>
      </c>
      <c r="G264" s="1" t="str">
        <f>_xlfn.XLOOKUP(B264,Mapping!A:A,Mapping!C:C)</f>
        <v>Other OPEX</v>
      </c>
    </row>
    <row r="265" spans="1:7">
      <c r="A265" s="1">
        <v>46265</v>
      </c>
      <c r="B265" s="1">
        <v>6400</v>
      </c>
      <c r="C265" s="1" t="s">
        <v>26</v>
      </c>
      <c r="D265" s="1" t="s">
        <v>27</v>
      </c>
      <c r="E265" s="1">
        <v>-4885.92</v>
      </c>
      <c r="F265" s="1" t="str">
        <f>_xlfn.XLOOKUP(B265,Mapping!A:A,Mapping!B:B)</f>
        <v>Professional Services</v>
      </c>
      <c r="G265" s="1" t="str">
        <f>_xlfn.XLOOKUP(B265,Mapping!A:A,Mapping!C:C)</f>
        <v>Other OPEX</v>
      </c>
    </row>
    <row r="266" spans="1:7">
      <c r="A266" s="1">
        <v>46295</v>
      </c>
      <c r="B266" s="1">
        <v>3000</v>
      </c>
      <c r="C266" s="1" t="s">
        <v>22</v>
      </c>
      <c r="D266" s="1" t="s">
        <v>23</v>
      </c>
      <c r="E266" s="1">
        <v>330635.25</v>
      </c>
      <c r="F266" s="1" t="str">
        <f>_xlfn.XLOOKUP(B266,Mapping!A:A,Mapping!B:B)</f>
        <v>Product Sales</v>
      </c>
      <c r="G266" s="1" t="str">
        <f>_xlfn.XLOOKUP(B266,Mapping!A:A,Mapping!C:C)</f>
        <v>Revenue</v>
      </c>
    </row>
    <row r="267" spans="1:7">
      <c r="A267" s="1">
        <v>46295</v>
      </c>
      <c r="B267" s="1">
        <v>3100</v>
      </c>
      <c r="C267" s="1" t="s">
        <v>22</v>
      </c>
      <c r="D267" s="1" t="s">
        <v>23</v>
      </c>
      <c r="E267" s="1">
        <v>91585.8</v>
      </c>
      <c r="F267" s="1" t="str">
        <f>_xlfn.XLOOKUP(B267,Mapping!A:A,Mapping!B:B)</f>
        <v>Service Revenue</v>
      </c>
      <c r="G267" s="1" t="str">
        <f>_xlfn.XLOOKUP(B267,Mapping!A:A,Mapping!C:C)</f>
        <v>Revenue</v>
      </c>
    </row>
    <row r="268" spans="1:7">
      <c r="A268" s="1">
        <v>46295</v>
      </c>
      <c r="B268" s="1">
        <v>4000</v>
      </c>
      <c r="C268" s="1" t="s">
        <v>22</v>
      </c>
      <c r="D268" s="1" t="s">
        <v>23</v>
      </c>
      <c r="E268" s="1">
        <v>-133064.4</v>
      </c>
      <c r="F268" s="1" t="str">
        <f>_xlfn.XLOOKUP(B268,Mapping!A:A,Mapping!B:B)</f>
        <v>Materials</v>
      </c>
      <c r="G268" s="1" t="str">
        <f>_xlfn.XLOOKUP(B268,Mapping!A:A,Mapping!C:C)</f>
        <v>COGS</v>
      </c>
    </row>
    <row r="269" spans="1:7">
      <c r="A269" s="1">
        <v>46295</v>
      </c>
      <c r="B269" s="1">
        <v>4100</v>
      </c>
      <c r="C269" s="1" t="s">
        <v>22</v>
      </c>
      <c r="D269" s="1" t="s">
        <v>23</v>
      </c>
      <c r="E269" s="1">
        <v>-28754.7</v>
      </c>
      <c r="F269" s="1" t="str">
        <f>_xlfn.XLOOKUP(B269,Mapping!A:A,Mapping!B:B)</f>
        <v>Freight &amp; Logistics</v>
      </c>
      <c r="G269" s="1" t="str">
        <f>_xlfn.XLOOKUP(B269,Mapping!A:A,Mapping!C:C)</f>
        <v>COGS</v>
      </c>
    </row>
    <row r="270" spans="1:7">
      <c r="A270" s="1">
        <v>46295</v>
      </c>
      <c r="B270" s="1">
        <v>5000</v>
      </c>
      <c r="C270" s="1" t="s">
        <v>22</v>
      </c>
      <c r="D270" s="1" t="s">
        <v>23</v>
      </c>
      <c r="E270" s="1">
        <v>-74350.5</v>
      </c>
      <c r="F270" s="1" t="str">
        <f>_xlfn.XLOOKUP(B270,Mapping!A:A,Mapping!B:B)</f>
        <v>Salaries</v>
      </c>
      <c r="G270" s="1" t="str">
        <f>_xlfn.XLOOKUP(B270,Mapping!A:A,Mapping!C:C)</f>
        <v>Personnel</v>
      </c>
    </row>
    <row r="271" spans="1:7">
      <c r="A271" s="1">
        <v>46295</v>
      </c>
      <c r="B271" s="1">
        <v>5100</v>
      </c>
      <c r="C271" s="1" t="s">
        <v>22</v>
      </c>
      <c r="D271" s="1" t="s">
        <v>23</v>
      </c>
      <c r="E271" s="1">
        <v>-16972.5</v>
      </c>
      <c r="F271" s="1" t="str">
        <f>_xlfn.XLOOKUP(B271,Mapping!A:A,Mapping!B:B)</f>
        <v>Employee Benefits</v>
      </c>
      <c r="G271" s="1" t="str">
        <f>_xlfn.XLOOKUP(B271,Mapping!A:A,Mapping!C:C)</f>
        <v>Personnel</v>
      </c>
    </row>
    <row r="272" spans="1:7">
      <c r="A272" s="1">
        <v>46295</v>
      </c>
      <c r="B272" s="1">
        <v>6000</v>
      </c>
      <c r="C272" s="1" t="s">
        <v>22</v>
      </c>
      <c r="D272" s="1" t="s">
        <v>23</v>
      </c>
      <c r="E272" s="1">
        <v>-16917.75</v>
      </c>
      <c r="F272" s="1" t="str">
        <f>_xlfn.XLOOKUP(B272,Mapping!A:A,Mapping!B:B)</f>
        <v xml:space="preserve">Rent </v>
      </c>
      <c r="G272" s="1" t="str">
        <f>_xlfn.XLOOKUP(B272,Mapping!A:A,Mapping!C:C)</f>
        <v>Other OPEX</v>
      </c>
    </row>
    <row r="273" spans="1:7">
      <c r="A273" s="1">
        <v>46295</v>
      </c>
      <c r="B273" s="1">
        <v>6100</v>
      </c>
      <c r="C273" s="1" t="s">
        <v>22</v>
      </c>
      <c r="D273" s="1" t="s">
        <v>23</v>
      </c>
      <c r="E273" s="1">
        <v>-12466.58</v>
      </c>
      <c r="F273" s="1" t="str">
        <f>_xlfn.XLOOKUP(B273,Mapping!A:A,Mapping!B:B)</f>
        <v>IT &amp; Software</v>
      </c>
      <c r="G273" s="1" t="str">
        <f>_xlfn.XLOOKUP(B273,Mapping!A:A,Mapping!C:C)</f>
        <v>Other OPEX</v>
      </c>
    </row>
    <row r="274" spans="1:7">
      <c r="A274" s="1">
        <v>46295</v>
      </c>
      <c r="B274" s="1">
        <v>6200</v>
      </c>
      <c r="C274" s="1" t="s">
        <v>22</v>
      </c>
      <c r="D274" s="1" t="s">
        <v>23</v>
      </c>
      <c r="E274" s="1">
        <v>-10610.55</v>
      </c>
      <c r="F274" s="1" t="str">
        <f>_xlfn.XLOOKUP(B274,Mapping!A:A,Mapping!B:B)</f>
        <v>Marketing</v>
      </c>
      <c r="G274" s="1" t="str">
        <f>_xlfn.XLOOKUP(B274,Mapping!A:A,Mapping!C:C)</f>
        <v>Other OPEX</v>
      </c>
    </row>
    <row r="275" spans="1:7">
      <c r="A275" s="1">
        <v>46295</v>
      </c>
      <c r="B275" s="1">
        <v>6300</v>
      </c>
      <c r="C275" s="1" t="s">
        <v>22</v>
      </c>
      <c r="D275" s="1" t="s">
        <v>23</v>
      </c>
      <c r="E275" s="1">
        <v>-5580.12</v>
      </c>
      <c r="F275" s="1" t="str">
        <f>_xlfn.XLOOKUP(B275,Mapping!A:A,Mapping!B:B)</f>
        <v>Travel</v>
      </c>
      <c r="G275" s="1" t="str">
        <f>_xlfn.XLOOKUP(B275,Mapping!A:A,Mapping!C:C)</f>
        <v>Other OPEX</v>
      </c>
    </row>
    <row r="276" spans="1:7">
      <c r="A276" s="1">
        <v>46295</v>
      </c>
      <c r="B276" s="1">
        <v>6400</v>
      </c>
      <c r="C276" s="1" t="s">
        <v>22</v>
      </c>
      <c r="D276" s="1" t="s">
        <v>23</v>
      </c>
      <c r="E276" s="1">
        <v>-8626.41</v>
      </c>
      <c r="F276" s="1" t="str">
        <f>_xlfn.XLOOKUP(B276,Mapping!A:A,Mapping!B:B)</f>
        <v>Professional Services</v>
      </c>
      <c r="G276" s="1" t="str">
        <f>_xlfn.XLOOKUP(B276,Mapping!A:A,Mapping!C:C)</f>
        <v>Other OPEX</v>
      </c>
    </row>
    <row r="277" spans="1:7">
      <c r="A277" s="1">
        <v>46295</v>
      </c>
      <c r="B277" s="1">
        <v>3000</v>
      </c>
      <c r="C277" s="1" t="s">
        <v>24</v>
      </c>
      <c r="D277" s="1" t="s">
        <v>25</v>
      </c>
      <c r="E277" s="1">
        <v>282075.28999999998</v>
      </c>
      <c r="F277" s="1" t="str">
        <f>_xlfn.XLOOKUP(B277,Mapping!A:A,Mapping!B:B)</f>
        <v>Product Sales</v>
      </c>
      <c r="G277" s="1" t="str">
        <f>_xlfn.XLOOKUP(B277,Mapping!A:A,Mapping!C:C)</f>
        <v>Revenue</v>
      </c>
    </row>
    <row r="278" spans="1:7">
      <c r="A278" s="1">
        <v>46295</v>
      </c>
      <c r="B278" s="1">
        <v>3100</v>
      </c>
      <c r="C278" s="1" t="s">
        <v>24</v>
      </c>
      <c r="D278" s="1" t="s">
        <v>25</v>
      </c>
      <c r="E278" s="1">
        <v>72891.520000000004</v>
      </c>
      <c r="F278" s="1" t="str">
        <f>_xlfn.XLOOKUP(B278,Mapping!A:A,Mapping!B:B)</f>
        <v>Service Revenue</v>
      </c>
      <c r="G278" s="1" t="str">
        <f>_xlfn.XLOOKUP(B278,Mapping!A:A,Mapping!C:C)</f>
        <v>Revenue</v>
      </c>
    </row>
    <row r="279" spans="1:7">
      <c r="A279" s="1">
        <v>46295</v>
      </c>
      <c r="B279" s="1">
        <v>4000</v>
      </c>
      <c r="C279" s="1" t="s">
        <v>24</v>
      </c>
      <c r="D279" s="1" t="s">
        <v>25</v>
      </c>
      <c r="E279" s="1">
        <v>-113566.39</v>
      </c>
      <c r="F279" s="1" t="str">
        <f>_xlfn.XLOOKUP(B279,Mapping!A:A,Mapping!B:B)</f>
        <v>Materials</v>
      </c>
      <c r="G279" s="1" t="str">
        <f>_xlfn.XLOOKUP(B279,Mapping!A:A,Mapping!C:C)</f>
        <v>COGS</v>
      </c>
    </row>
    <row r="280" spans="1:7">
      <c r="A280" s="1">
        <v>46295</v>
      </c>
      <c r="B280" s="1">
        <v>4100</v>
      </c>
      <c r="C280" s="1" t="s">
        <v>24</v>
      </c>
      <c r="D280" s="1" t="s">
        <v>25</v>
      </c>
      <c r="E280" s="1">
        <v>-22878.49</v>
      </c>
      <c r="F280" s="1" t="str">
        <f>_xlfn.XLOOKUP(B280,Mapping!A:A,Mapping!B:B)</f>
        <v>Freight &amp; Logistics</v>
      </c>
      <c r="G280" s="1" t="str">
        <f>_xlfn.XLOOKUP(B280,Mapping!A:A,Mapping!C:C)</f>
        <v>COGS</v>
      </c>
    </row>
    <row r="281" spans="1:7">
      <c r="A281" s="1">
        <v>46295</v>
      </c>
      <c r="B281" s="1">
        <v>5000</v>
      </c>
      <c r="C281" s="1" t="s">
        <v>24</v>
      </c>
      <c r="D281" s="1" t="s">
        <v>25</v>
      </c>
      <c r="E281" s="1">
        <v>-63481.53</v>
      </c>
      <c r="F281" s="1" t="str">
        <f>_xlfn.XLOOKUP(B281,Mapping!A:A,Mapping!B:B)</f>
        <v>Salaries</v>
      </c>
      <c r="G281" s="1" t="str">
        <f>_xlfn.XLOOKUP(B281,Mapping!A:A,Mapping!C:C)</f>
        <v>Personnel</v>
      </c>
    </row>
    <row r="282" spans="1:7">
      <c r="A282" s="1">
        <v>46295</v>
      </c>
      <c r="B282" s="1">
        <v>5100</v>
      </c>
      <c r="C282" s="1" t="s">
        <v>24</v>
      </c>
      <c r="D282" s="1" t="s">
        <v>25</v>
      </c>
      <c r="E282" s="1">
        <v>-13499.93</v>
      </c>
      <c r="F282" s="1" t="str">
        <f>_xlfn.XLOOKUP(B282,Mapping!A:A,Mapping!B:B)</f>
        <v>Employee Benefits</v>
      </c>
      <c r="G282" s="1" t="str">
        <f>_xlfn.XLOOKUP(B282,Mapping!A:A,Mapping!C:C)</f>
        <v>Personnel</v>
      </c>
    </row>
    <row r="283" spans="1:7">
      <c r="A283" s="1">
        <v>46295</v>
      </c>
      <c r="B283" s="1">
        <v>6000</v>
      </c>
      <c r="C283" s="1" t="s">
        <v>24</v>
      </c>
      <c r="D283" s="1" t="s">
        <v>25</v>
      </c>
      <c r="E283" s="1">
        <v>-13468.5</v>
      </c>
      <c r="F283" s="1" t="str">
        <f>_xlfn.XLOOKUP(B283,Mapping!A:A,Mapping!B:B)</f>
        <v xml:space="preserve">Rent </v>
      </c>
      <c r="G283" s="1" t="str">
        <f>_xlfn.XLOOKUP(B283,Mapping!A:A,Mapping!C:C)</f>
        <v>Other OPEX</v>
      </c>
    </row>
    <row r="284" spans="1:7">
      <c r="A284" s="1">
        <v>46295</v>
      </c>
      <c r="B284" s="1">
        <v>6100</v>
      </c>
      <c r="C284" s="1" t="s">
        <v>24</v>
      </c>
      <c r="D284" s="1" t="s">
        <v>25</v>
      </c>
      <c r="E284" s="1">
        <v>-10635.63</v>
      </c>
      <c r="F284" s="1" t="str">
        <f>_xlfn.XLOOKUP(B284,Mapping!A:A,Mapping!B:B)</f>
        <v>IT &amp; Software</v>
      </c>
      <c r="G284" s="1" t="str">
        <f>_xlfn.XLOOKUP(B284,Mapping!A:A,Mapping!C:C)</f>
        <v>Other OPEX</v>
      </c>
    </row>
    <row r="285" spans="1:7">
      <c r="A285" s="1">
        <v>46295</v>
      </c>
      <c r="B285" s="1">
        <v>6200</v>
      </c>
      <c r="C285" s="1" t="s">
        <v>24</v>
      </c>
      <c r="D285" s="1" t="s">
        <v>25</v>
      </c>
      <c r="E285" s="1">
        <v>-8444.75</v>
      </c>
      <c r="F285" s="1" t="str">
        <f>_xlfn.XLOOKUP(B285,Mapping!A:A,Mapping!B:B)</f>
        <v>Marketing</v>
      </c>
      <c r="G285" s="1" t="str">
        <f>_xlfn.XLOOKUP(B285,Mapping!A:A,Mapping!C:C)</f>
        <v>Other OPEX</v>
      </c>
    </row>
    <row r="286" spans="1:7">
      <c r="A286" s="1">
        <v>46295</v>
      </c>
      <c r="B286" s="1">
        <v>6300</v>
      </c>
      <c r="C286" s="1" t="s">
        <v>24</v>
      </c>
      <c r="D286" s="1" t="s">
        <v>25</v>
      </c>
      <c r="E286" s="1">
        <v>-4762.46</v>
      </c>
      <c r="F286" s="1" t="str">
        <f>_xlfn.XLOOKUP(B286,Mapping!A:A,Mapping!B:B)</f>
        <v>Travel</v>
      </c>
      <c r="G286" s="1" t="str">
        <f>_xlfn.XLOOKUP(B286,Mapping!A:A,Mapping!C:C)</f>
        <v>Other OPEX</v>
      </c>
    </row>
    <row r="287" spans="1:7">
      <c r="A287" s="1">
        <v>46295</v>
      </c>
      <c r="B287" s="1">
        <v>6400</v>
      </c>
      <c r="C287" s="1" t="s">
        <v>24</v>
      </c>
      <c r="D287" s="1" t="s">
        <v>25</v>
      </c>
      <c r="E287" s="1">
        <v>-6863.55</v>
      </c>
      <c r="F287" s="1" t="str">
        <f>_xlfn.XLOOKUP(B287,Mapping!A:A,Mapping!B:B)</f>
        <v>Professional Services</v>
      </c>
      <c r="G287" s="1" t="str">
        <f>_xlfn.XLOOKUP(B287,Mapping!A:A,Mapping!C:C)</f>
        <v>Other OPEX</v>
      </c>
    </row>
    <row r="288" spans="1:7">
      <c r="A288" s="1">
        <v>46295</v>
      </c>
      <c r="B288" s="1">
        <v>3000</v>
      </c>
      <c r="C288" s="1" t="s">
        <v>26</v>
      </c>
      <c r="D288" s="1" t="s">
        <v>27</v>
      </c>
      <c r="E288" s="1">
        <v>193705.5</v>
      </c>
      <c r="F288" s="1" t="str">
        <f>_xlfn.XLOOKUP(B288,Mapping!A:A,Mapping!B:B)</f>
        <v>Product Sales</v>
      </c>
      <c r="G288" s="1" t="str">
        <f>_xlfn.XLOOKUP(B288,Mapping!A:A,Mapping!C:C)</f>
        <v>Revenue</v>
      </c>
    </row>
    <row r="289" spans="1:7">
      <c r="A289" s="1">
        <v>46295</v>
      </c>
      <c r="B289" s="1">
        <v>3100</v>
      </c>
      <c r="C289" s="1" t="s">
        <v>26</v>
      </c>
      <c r="D289" s="1" t="s">
        <v>27</v>
      </c>
      <c r="E289" s="1">
        <v>53640.55</v>
      </c>
      <c r="F289" s="1" t="str">
        <f>_xlfn.XLOOKUP(B289,Mapping!A:A,Mapping!B:B)</f>
        <v>Service Revenue</v>
      </c>
      <c r="G289" s="1" t="str">
        <f>_xlfn.XLOOKUP(B289,Mapping!A:A,Mapping!C:C)</f>
        <v>Revenue</v>
      </c>
    </row>
    <row r="290" spans="1:7">
      <c r="A290" s="1">
        <v>46295</v>
      </c>
      <c r="B290" s="1">
        <v>4000</v>
      </c>
      <c r="C290" s="1" t="s">
        <v>26</v>
      </c>
      <c r="D290" s="1" t="s">
        <v>27</v>
      </c>
      <c r="E290" s="1">
        <v>-77964.88</v>
      </c>
      <c r="F290" s="1" t="str">
        <f>_xlfn.XLOOKUP(B290,Mapping!A:A,Mapping!B:B)</f>
        <v>Materials</v>
      </c>
      <c r="G290" s="1" t="str">
        <f>_xlfn.XLOOKUP(B290,Mapping!A:A,Mapping!C:C)</f>
        <v>COGS</v>
      </c>
    </row>
    <row r="291" spans="1:7">
      <c r="A291" s="1">
        <v>46295</v>
      </c>
      <c r="B291" s="1">
        <v>4100</v>
      </c>
      <c r="C291" s="1" t="s">
        <v>26</v>
      </c>
      <c r="D291" s="1" t="s">
        <v>27</v>
      </c>
      <c r="E291" s="1">
        <v>-16842.849999999999</v>
      </c>
      <c r="F291" s="1" t="str">
        <f>_xlfn.XLOOKUP(B291,Mapping!A:A,Mapping!B:B)</f>
        <v>Freight &amp; Logistics</v>
      </c>
      <c r="G291" s="1" t="str">
        <f>_xlfn.XLOOKUP(B291,Mapping!A:A,Mapping!C:C)</f>
        <v>COGS</v>
      </c>
    </row>
    <row r="292" spans="1:7">
      <c r="A292" s="1">
        <v>46295</v>
      </c>
      <c r="B292" s="1">
        <v>5000</v>
      </c>
      <c r="C292" s="1" t="s">
        <v>26</v>
      </c>
      <c r="D292" s="1" t="s">
        <v>27</v>
      </c>
      <c r="E292" s="1">
        <v>-43567.86</v>
      </c>
      <c r="F292" s="1" t="str">
        <f>_xlfn.XLOOKUP(B292,Mapping!A:A,Mapping!B:B)</f>
        <v>Salaries</v>
      </c>
      <c r="G292" s="1" t="str">
        <f>_xlfn.XLOOKUP(B292,Mapping!A:A,Mapping!C:C)</f>
        <v>Personnel</v>
      </c>
    </row>
    <row r="293" spans="1:7">
      <c r="A293" s="1">
        <v>46295</v>
      </c>
      <c r="B293" s="1">
        <v>5100</v>
      </c>
      <c r="C293" s="1" t="s">
        <v>26</v>
      </c>
      <c r="D293" s="1" t="s">
        <v>27</v>
      </c>
      <c r="E293" s="1">
        <v>-9942.49</v>
      </c>
      <c r="F293" s="1" t="str">
        <f>_xlfn.XLOOKUP(B293,Mapping!A:A,Mapping!B:B)</f>
        <v>Employee Benefits</v>
      </c>
      <c r="G293" s="1" t="str">
        <f>_xlfn.XLOOKUP(B293,Mapping!A:A,Mapping!C:C)</f>
        <v>Personnel</v>
      </c>
    </row>
    <row r="294" spans="1:7">
      <c r="A294" s="1">
        <v>46295</v>
      </c>
      <c r="B294" s="1">
        <v>6000</v>
      </c>
      <c r="C294" s="1" t="s">
        <v>26</v>
      </c>
      <c r="D294" s="1" t="s">
        <v>27</v>
      </c>
      <c r="E294" s="1">
        <v>-9240.7000000000007</v>
      </c>
      <c r="F294" s="1" t="str">
        <f>_xlfn.XLOOKUP(B294,Mapping!A:A,Mapping!B:B)</f>
        <v xml:space="preserve">Rent </v>
      </c>
      <c r="G294" s="1" t="str">
        <f>_xlfn.XLOOKUP(B294,Mapping!A:A,Mapping!C:C)</f>
        <v>Other OPEX</v>
      </c>
    </row>
    <row r="295" spans="1:7">
      <c r="A295" s="1">
        <v>46295</v>
      </c>
      <c r="B295" s="1">
        <v>6100</v>
      </c>
      <c r="C295" s="1" t="s">
        <v>26</v>
      </c>
      <c r="D295" s="1" t="s">
        <v>27</v>
      </c>
      <c r="E295" s="1">
        <v>-7303.65</v>
      </c>
      <c r="F295" s="1" t="str">
        <f>_xlfn.XLOOKUP(B295,Mapping!A:A,Mapping!B:B)</f>
        <v>IT &amp; Software</v>
      </c>
      <c r="G295" s="1" t="str">
        <f>_xlfn.XLOOKUP(B295,Mapping!A:A,Mapping!C:C)</f>
        <v>Other OPEX</v>
      </c>
    </row>
    <row r="296" spans="1:7">
      <c r="A296" s="1">
        <v>46295</v>
      </c>
      <c r="B296" s="1">
        <v>6200</v>
      </c>
      <c r="C296" s="1" t="s">
        <v>26</v>
      </c>
      <c r="D296" s="1" t="s">
        <v>27</v>
      </c>
      <c r="E296" s="1">
        <v>-6214.45</v>
      </c>
      <c r="F296" s="1" t="str">
        <f>_xlfn.XLOOKUP(B296,Mapping!A:A,Mapping!B:B)</f>
        <v>Marketing</v>
      </c>
      <c r="G296" s="1" t="str">
        <f>_xlfn.XLOOKUP(B296,Mapping!A:A,Mapping!C:C)</f>
        <v>Other OPEX</v>
      </c>
    </row>
    <row r="297" spans="1:7">
      <c r="A297" s="1">
        <v>46295</v>
      </c>
      <c r="B297" s="1">
        <v>6300</v>
      </c>
      <c r="C297" s="1" t="s">
        <v>26</v>
      </c>
      <c r="D297" s="1" t="s">
        <v>27</v>
      </c>
      <c r="E297" s="1">
        <v>-3269.49</v>
      </c>
      <c r="F297" s="1" t="str">
        <f>_xlfn.XLOOKUP(B297,Mapping!A:A,Mapping!B:B)</f>
        <v>Travel</v>
      </c>
      <c r="G297" s="1" t="str">
        <f>_xlfn.XLOOKUP(B297,Mapping!A:A,Mapping!C:C)</f>
        <v>Other OPEX</v>
      </c>
    </row>
    <row r="298" spans="1:7">
      <c r="A298" s="1">
        <v>46295</v>
      </c>
      <c r="B298" s="1">
        <v>6400</v>
      </c>
      <c r="C298" s="1" t="s">
        <v>26</v>
      </c>
      <c r="D298" s="1" t="s">
        <v>27</v>
      </c>
      <c r="E298" s="1">
        <v>-5052.8599999999997</v>
      </c>
      <c r="F298" s="1" t="str">
        <f>_xlfn.XLOOKUP(B298,Mapping!A:A,Mapping!B:B)</f>
        <v>Professional Services</v>
      </c>
      <c r="G298" s="1" t="str">
        <f>_xlfn.XLOOKUP(B298,Mapping!A:A,Mapping!C:C)</f>
        <v>Other OPEX</v>
      </c>
    </row>
    <row r="299" spans="1:7">
      <c r="A299" s="1">
        <v>46326</v>
      </c>
      <c r="B299" s="1">
        <v>3000</v>
      </c>
      <c r="C299" s="1" t="s">
        <v>22</v>
      </c>
      <c r="D299" s="1" t="s">
        <v>23</v>
      </c>
      <c r="E299" s="1">
        <v>341935.5</v>
      </c>
      <c r="F299" s="1" t="str">
        <f>_xlfn.XLOOKUP(B299,Mapping!A:A,Mapping!B:B)</f>
        <v>Product Sales</v>
      </c>
      <c r="G299" s="1" t="str">
        <f>_xlfn.XLOOKUP(B299,Mapping!A:A,Mapping!C:C)</f>
        <v>Revenue</v>
      </c>
    </row>
    <row r="300" spans="1:7">
      <c r="A300" s="1">
        <v>46326</v>
      </c>
      <c r="B300" s="1">
        <v>3100</v>
      </c>
      <c r="C300" s="1" t="s">
        <v>22</v>
      </c>
      <c r="D300" s="1" t="s">
        <v>23</v>
      </c>
      <c r="E300" s="1">
        <v>88289.4</v>
      </c>
      <c r="F300" s="1" t="str">
        <f>_xlfn.XLOOKUP(B300,Mapping!A:A,Mapping!B:B)</f>
        <v>Service Revenue</v>
      </c>
      <c r="G300" s="1" t="str">
        <f>_xlfn.XLOOKUP(B300,Mapping!A:A,Mapping!C:C)</f>
        <v>Revenue</v>
      </c>
    </row>
    <row r="301" spans="1:7">
      <c r="A301" s="1">
        <v>46326</v>
      </c>
      <c r="B301" s="1">
        <v>4000</v>
      </c>
      <c r="C301" s="1" t="s">
        <v>22</v>
      </c>
      <c r="D301" s="1" t="s">
        <v>23</v>
      </c>
      <c r="E301" s="1">
        <v>-137640</v>
      </c>
      <c r="F301" s="1" t="str">
        <f>_xlfn.XLOOKUP(B301,Mapping!A:A,Mapping!B:B)</f>
        <v>Materials</v>
      </c>
      <c r="G301" s="1" t="str">
        <f>_xlfn.XLOOKUP(B301,Mapping!A:A,Mapping!C:C)</f>
        <v>COGS</v>
      </c>
    </row>
    <row r="302" spans="1:7">
      <c r="A302" s="1">
        <v>46326</v>
      </c>
      <c r="B302" s="1">
        <v>4100</v>
      </c>
      <c r="C302" s="1" t="s">
        <v>22</v>
      </c>
      <c r="D302" s="1" t="s">
        <v>23</v>
      </c>
      <c r="E302" s="1">
        <v>-29725.8</v>
      </c>
      <c r="F302" s="1" t="str">
        <f>_xlfn.XLOOKUP(B302,Mapping!A:A,Mapping!B:B)</f>
        <v>Freight &amp; Logistics</v>
      </c>
      <c r="G302" s="1" t="str">
        <f>_xlfn.XLOOKUP(B302,Mapping!A:A,Mapping!C:C)</f>
        <v>COGS</v>
      </c>
    </row>
    <row r="303" spans="1:7">
      <c r="A303" s="1">
        <v>46326</v>
      </c>
      <c r="B303" s="1">
        <v>5000</v>
      </c>
      <c r="C303" s="1" t="s">
        <v>22</v>
      </c>
      <c r="D303" s="1" t="s">
        <v>23</v>
      </c>
      <c r="E303" s="1">
        <v>-76923</v>
      </c>
      <c r="F303" s="1" t="str">
        <f>_xlfn.XLOOKUP(B303,Mapping!A:A,Mapping!B:B)</f>
        <v>Salaries</v>
      </c>
      <c r="G303" s="1" t="str">
        <f>_xlfn.XLOOKUP(B303,Mapping!A:A,Mapping!C:C)</f>
        <v>Personnel</v>
      </c>
    </row>
    <row r="304" spans="1:7">
      <c r="A304" s="1">
        <v>46326</v>
      </c>
      <c r="B304" s="1">
        <v>5100</v>
      </c>
      <c r="C304" s="1" t="s">
        <v>22</v>
      </c>
      <c r="D304" s="1" t="s">
        <v>23</v>
      </c>
      <c r="E304" s="1">
        <v>-17549.099999999999</v>
      </c>
      <c r="F304" s="1" t="str">
        <f>_xlfn.XLOOKUP(B304,Mapping!A:A,Mapping!B:B)</f>
        <v>Employee Benefits</v>
      </c>
      <c r="G304" s="1" t="str">
        <f>_xlfn.XLOOKUP(B304,Mapping!A:A,Mapping!C:C)</f>
        <v>Personnel</v>
      </c>
    </row>
    <row r="305" spans="1:7">
      <c r="A305" s="1">
        <v>46326</v>
      </c>
      <c r="B305" s="1">
        <v>6000</v>
      </c>
      <c r="C305" s="1" t="s">
        <v>22</v>
      </c>
      <c r="D305" s="1" t="s">
        <v>23</v>
      </c>
      <c r="E305" s="1">
        <v>-16317</v>
      </c>
      <c r="F305" s="1" t="str">
        <f>_xlfn.XLOOKUP(B305,Mapping!A:A,Mapping!B:B)</f>
        <v xml:space="preserve">Rent </v>
      </c>
      <c r="G305" s="1" t="str">
        <f>_xlfn.XLOOKUP(B305,Mapping!A:A,Mapping!C:C)</f>
        <v>Other OPEX</v>
      </c>
    </row>
    <row r="306" spans="1:7">
      <c r="A306" s="1">
        <v>46326</v>
      </c>
      <c r="B306" s="1">
        <v>6100</v>
      </c>
      <c r="C306" s="1" t="s">
        <v>22</v>
      </c>
      <c r="D306" s="1" t="s">
        <v>23</v>
      </c>
      <c r="E306" s="1">
        <v>-12892.65</v>
      </c>
      <c r="F306" s="1" t="str">
        <f>_xlfn.XLOOKUP(B306,Mapping!A:A,Mapping!B:B)</f>
        <v>IT &amp; Software</v>
      </c>
      <c r="G306" s="1" t="str">
        <f>_xlfn.XLOOKUP(B306,Mapping!A:A,Mapping!C:C)</f>
        <v>Other OPEX</v>
      </c>
    </row>
    <row r="307" spans="1:7">
      <c r="A307" s="1">
        <v>46326</v>
      </c>
      <c r="B307" s="1">
        <v>6200</v>
      </c>
      <c r="C307" s="1" t="s">
        <v>22</v>
      </c>
      <c r="D307" s="1" t="s">
        <v>23</v>
      </c>
      <c r="E307" s="1">
        <v>-10228.65</v>
      </c>
      <c r="F307" s="1" t="str">
        <f>_xlfn.XLOOKUP(B307,Mapping!A:A,Mapping!B:B)</f>
        <v>Marketing</v>
      </c>
      <c r="G307" s="1" t="str">
        <f>_xlfn.XLOOKUP(B307,Mapping!A:A,Mapping!C:C)</f>
        <v>Other OPEX</v>
      </c>
    </row>
    <row r="308" spans="1:7">
      <c r="A308" s="1">
        <v>46326</v>
      </c>
      <c r="B308" s="1">
        <v>6300</v>
      </c>
      <c r="C308" s="1" t="s">
        <v>22</v>
      </c>
      <c r="D308" s="1" t="s">
        <v>23</v>
      </c>
      <c r="E308" s="1">
        <v>-5772</v>
      </c>
      <c r="F308" s="1" t="str">
        <f>_xlfn.XLOOKUP(B308,Mapping!A:A,Mapping!B:B)</f>
        <v>Travel</v>
      </c>
      <c r="G308" s="1" t="str">
        <f>_xlfn.XLOOKUP(B308,Mapping!A:A,Mapping!C:C)</f>
        <v>Other OPEX</v>
      </c>
    </row>
    <row r="309" spans="1:7">
      <c r="A309" s="1">
        <v>46326</v>
      </c>
      <c r="B309" s="1">
        <v>6400</v>
      </c>
      <c r="C309" s="1" t="s">
        <v>22</v>
      </c>
      <c r="D309" s="1" t="s">
        <v>23</v>
      </c>
      <c r="E309" s="1">
        <v>-8917.74</v>
      </c>
      <c r="F309" s="1" t="str">
        <f>_xlfn.XLOOKUP(B309,Mapping!A:A,Mapping!B:B)</f>
        <v>Professional Services</v>
      </c>
      <c r="G309" s="1" t="str">
        <f>_xlfn.XLOOKUP(B309,Mapping!A:A,Mapping!C:C)</f>
        <v>Other OPEX</v>
      </c>
    </row>
    <row r="310" spans="1:7">
      <c r="A310" s="1">
        <v>46326</v>
      </c>
      <c r="B310" s="1">
        <v>3000</v>
      </c>
      <c r="C310" s="1" t="s">
        <v>24</v>
      </c>
      <c r="D310" s="1" t="s">
        <v>25</v>
      </c>
      <c r="E310" s="1">
        <v>272058.78000000003</v>
      </c>
      <c r="F310" s="1" t="str">
        <f>_xlfn.XLOOKUP(B310,Mapping!A:A,Mapping!B:B)</f>
        <v>Product Sales</v>
      </c>
      <c r="G310" s="1" t="str">
        <f>_xlfn.XLOOKUP(B310,Mapping!A:A,Mapping!C:C)</f>
        <v>Revenue</v>
      </c>
    </row>
    <row r="311" spans="1:7">
      <c r="A311" s="1">
        <v>46326</v>
      </c>
      <c r="B311" s="1">
        <v>3100</v>
      </c>
      <c r="C311" s="1" t="s">
        <v>24</v>
      </c>
      <c r="D311" s="1" t="s">
        <v>25</v>
      </c>
      <c r="E311" s="1">
        <v>75382.759999999995</v>
      </c>
      <c r="F311" s="1" t="str">
        <f>_xlfn.XLOOKUP(B311,Mapping!A:A,Mapping!B:B)</f>
        <v>Service Revenue</v>
      </c>
      <c r="G311" s="1" t="str">
        <f>_xlfn.XLOOKUP(B311,Mapping!A:A,Mapping!C:C)</f>
        <v>Revenue</v>
      </c>
    </row>
    <row r="312" spans="1:7">
      <c r="A312" s="1">
        <v>46326</v>
      </c>
      <c r="B312" s="1">
        <v>4000</v>
      </c>
      <c r="C312" s="1" t="s">
        <v>24</v>
      </c>
      <c r="D312" s="1" t="s">
        <v>25</v>
      </c>
      <c r="E312" s="1">
        <v>-109478.86</v>
      </c>
      <c r="F312" s="1" t="str">
        <f>_xlfn.XLOOKUP(B312,Mapping!A:A,Mapping!B:B)</f>
        <v>Materials</v>
      </c>
      <c r="G312" s="1" t="str">
        <f>_xlfn.XLOOKUP(B312,Mapping!A:A,Mapping!C:C)</f>
        <v>COGS</v>
      </c>
    </row>
    <row r="313" spans="1:7">
      <c r="A313" s="1">
        <v>46326</v>
      </c>
      <c r="B313" s="1">
        <v>4100</v>
      </c>
      <c r="C313" s="1" t="s">
        <v>24</v>
      </c>
      <c r="D313" s="1" t="s">
        <v>25</v>
      </c>
      <c r="E313" s="1">
        <v>-23665.200000000001</v>
      </c>
      <c r="F313" s="1" t="str">
        <f>_xlfn.XLOOKUP(B313,Mapping!A:A,Mapping!B:B)</f>
        <v>Freight &amp; Logistics</v>
      </c>
      <c r="G313" s="1" t="str">
        <f>_xlfn.XLOOKUP(B313,Mapping!A:A,Mapping!C:C)</f>
        <v>COGS</v>
      </c>
    </row>
    <row r="314" spans="1:7">
      <c r="A314" s="1">
        <v>46326</v>
      </c>
      <c r="B314" s="1">
        <v>5000</v>
      </c>
      <c r="C314" s="1" t="s">
        <v>24</v>
      </c>
      <c r="D314" s="1" t="s">
        <v>25</v>
      </c>
      <c r="E314" s="1">
        <v>-65625.42</v>
      </c>
      <c r="F314" s="1" t="str">
        <f>_xlfn.XLOOKUP(B314,Mapping!A:A,Mapping!B:B)</f>
        <v>Salaries</v>
      </c>
      <c r="G314" s="1" t="str">
        <f>_xlfn.XLOOKUP(B314,Mapping!A:A,Mapping!C:C)</f>
        <v>Personnel</v>
      </c>
    </row>
    <row r="315" spans="1:7">
      <c r="A315" s="1">
        <v>46326</v>
      </c>
      <c r="B315" s="1">
        <v>5100</v>
      </c>
      <c r="C315" s="1" t="s">
        <v>24</v>
      </c>
      <c r="D315" s="1" t="s">
        <v>25</v>
      </c>
      <c r="E315" s="1">
        <v>-13967.02</v>
      </c>
      <c r="F315" s="1" t="str">
        <f>_xlfn.XLOOKUP(B315,Mapping!A:A,Mapping!B:B)</f>
        <v>Employee Benefits</v>
      </c>
      <c r="G315" s="1" t="str">
        <f>_xlfn.XLOOKUP(B315,Mapping!A:A,Mapping!C:C)</f>
        <v>Personnel</v>
      </c>
    </row>
    <row r="316" spans="1:7">
      <c r="A316" s="1">
        <v>46326</v>
      </c>
      <c r="B316" s="1">
        <v>6000</v>
      </c>
      <c r="C316" s="1" t="s">
        <v>24</v>
      </c>
      <c r="D316" s="1" t="s">
        <v>25</v>
      </c>
      <c r="E316" s="1">
        <v>-13926.06</v>
      </c>
      <c r="F316" s="1" t="str">
        <f>_xlfn.XLOOKUP(B316,Mapping!A:A,Mapping!B:B)</f>
        <v xml:space="preserve">Rent </v>
      </c>
      <c r="G316" s="1" t="str">
        <f>_xlfn.XLOOKUP(B316,Mapping!A:A,Mapping!C:C)</f>
        <v>Other OPEX</v>
      </c>
    </row>
    <row r="317" spans="1:7">
      <c r="A317" s="1">
        <v>46326</v>
      </c>
      <c r="B317" s="1">
        <v>6100</v>
      </c>
      <c r="C317" s="1" t="s">
        <v>24</v>
      </c>
      <c r="D317" s="1" t="s">
        <v>25</v>
      </c>
      <c r="E317" s="1">
        <v>-10257.950000000001</v>
      </c>
      <c r="F317" s="1" t="str">
        <f>_xlfn.XLOOKUP(B317,Mapping!A:A,Mapping!B:B)</f>
        <v>IT &amp; Software</v>
      </c>
      <c r="G317" s="1" t="str">
        <f>_xlfn.XLOOKUP(B317,Mapping!A:A,Mapping!C:C)</f>
        <v>Other OPEX</v>
      </c>
    </row>
    <row r="318" spans="1:7">
      <c r="A318" s="1">
        <v>46326</v>
      </c>
      <c r="B318" s="1">
        <v>6200</v>
      </c>
      <c r="C318" s="1" t="s">
        <v>24</v>
      </c>
      <c r="D318" s="1" t="s">
        <v>25</v>
      </c>
      <c r="E318" s="1">
        <v>-8733.3700000000008</v>
      </c>
      <c r="F318" s="1" t="str">
        <f>_xlfn.XLOOKUP(B318,Mapping!A:A,Mapping!B:B)</f>
        <v>Marketing</v>
      </c>
      <c r="G318" s="1" t="str">
        <f>_xlfn.XLOOKUP(B318,Mapping!A:A,Mapping!C:C)</f>
        <v>Other OPEX</v>
      </c>
    </row>
    <row r="319" spans="1:7">
      <c r="A319" s="1">
        <v>46326</v>
      </c>
      <c r="B319" s="1">
        <v>6300</v>
      </c>
      <c r="C319" s="1" t="s">
        <v>24</v>
      </c>
      <c r="D319" s="1" t="s">
        <v>25</v>
      </c>
      <c r="E319" s="1">
        <v>-4591.05</v>
      </c>
      <c r="F319" s="1" t="str">
        <f>_xlfn.XLOOKUP(B319,Mapping!A:A,Mapping!B:B)</f>
        <v>Travel</v>
      </c>
      <c r="G319" s="1" t="str">
        <f>_xlfn.XLOOKUP(B319,Mapping!A:A,Mapping!C:C)</f>
        <v>Other OPEX</v>
      </c>
    </row>
    <row r="320" spans="1:7">
      <c r="A320" s="1">
        <v>46326</v>
      </c>
      <c r="B320" s="1">
        <v>6400</v>
      </c>
      <c r="C320" s="1" t="s">
        <v>24</v>
      </c>
      <c r="D320" s="1" t="s">
        <v>25</v>
      </c>
      <c r="E320" s="1">
        <v>-7099.56</v>
      </c>
      <c r="F320" s="1" t="str">
        <f>_xlfn.XLOOKUP(B320,Mapping!A:A,Mapping!B:B)</f>
        <v>Professional Services</v>
      </c>
      <c r="G320" s="1" t="str">
        <f>_xlfn.XLOOKUP(B320,Mapping!A:A,Mapping!C:C)</f>
        <v>Other OPEX</v>
      </c>
    </row>
    <row r="321" spans="1:7">
      <c r="A321" s="1">
        <v>46326</v>
      </c>
      <c r="B321" s="1">
        <v>3000</v>
      </c>
      <c r="C321" s="1" t="s">
        <v>26</v>
      </c>
      <c r="D321" s="1" t="s">
        <v>27</v>
      </c>
      <c r="E321" s="1">
        <v>200286.18</v>
      </c>
      <c r="F321" s="1" t="str">
        <f>_xlfn.XLOOKUP(B321,Mapping!A:A,Mapping!B:B)</f>
        <v>Product Sales</v>
      </c>
      <c r="G321" s="1" t="str">
        <f>_xlfn.XLOOKUP(B321,Mapping!A:A,Mapping!C:C)</f>
        <v>Revenue</v>
      </c>
    </row>
    <row r="322" spans="1:7">
      <c r="A322" s="1">
        <v>46326</v>
      </c>
      <c r="B322" s="1">
        <v>3100</v>
      </c>
      <c r="C322" s="1" t="s">
        <v>26</v>
      </c>
      <c r="D322" s="1" t="s">
        <v>27</v>
      </c>
      <c r="E322" s="1">
        <v>51735.77</v>
      </c>
      <c r="F322" s="1" t="str">
        <f>_xlfn.XLOOKUP(B322,Mapping!A:A,Mapping!B:B)</f>
        <v>Service Revenue</v>
      </c>
      <c r="G322" s="1" t="str">
        <f>_xlfn.XLOOKUP(B322,Mapping!A:A,Mapping!C:C)</f>
        <v>Revenue</v>
      </c>
    </row>
    <row r="323" spans="1:7">
      <c r="A323" s="1">
        <v>46326</v>
      </c>
      <c r="B323" s="1">
        <v>4000</v>
      </c>
      <c r="C323" s="1" t="s">
        <v>26</v>
      </c>
      <c r="D323" s="1" t="s">
        <v>27</v>
      </c>
      <c r="E323" s="1">
        <v>-80629.509999999995</v>
      </c>
      <c r="F323" s="1" t="str">
        <f>_xlfn.XLOOKUP(B323,Mapping!A:A,Mapping!B:B)</f>
        <v>Materials</v>
      </c>
      <c r="G323" s="1" t="str">
        <f>_xlfn.XLOOKUP(B323,Mapping!A:A,Mapping!C:C)</f>
        <v>COGS</v>
      </c>
    </row>
    <row r="324" spans="1:7">
      <c r="A324" s="1">
        <v>46326</v>
      </c>
      <c r="B324" s="1">
        <v>4100</v>
      </c>
      <c r="C324" s="1" t="s">
        <v>26</v>
      </c>
      <c r="D324" s="1" t="s">
        <v>27</v>
      </c>
      <c r="E324" s="1">
        <v>-16236.64</v>
      </c>
      <c r="F324" s="1" t="str">
        <f>_xlfn.XLOOKUP(B324,Mapping!A:A,Mapping!B:B)</f>
        <v>Freight &amp; Logistics</v>
      </c>
      <c r="G324" s="1" t="str">
        <f>_xlfn.XLOOKUP(B324,Mapping!A:A,Mapping!C:C)</f>
        <v>COGS</v>
      </c>
    </row>
    <row r="325" spans="1:7">
      <c r="A325" s="1">
        <v>46326</v>
      </c>
      <c r="B325" s="1">
        <v>5000</v>
      </c>
      <c r="C325" s="1" t="s">
        <v>26</v>
      </c>
      <c r="D325" s="1" t="s">
        <v>27</v>
      </c>
      <c r="E325" s="1">
        <v>-45066</v>
      </c>
      <c r="F325" s="1" t="str">
        <f>_xlfn.XLOOKUP(B325,Mapping!A:A,Mapping!B:B)</f>
        <v>Salaries</v>
      </c>
      <c r="G325" s="1" t="str">
        <f>_xlfn.XLOOKUP(B325,Mapping!A:A,Mapping!C:C)</f>
        <v>Personnel</v>
      </c>
    </row>
    <row r="326" spans="1:7">
      <c r="A326" s="1">
        <v>46326</v>
      </c>
      <c r="B326" s="1">
        <v>5100</v>
      </c>
      <c r="C326" s="1" t="s">
        <v>26</v>
      </c>
      <c r="D326" s="1" t="s">
        <v>27</v>
      </c>
      <c r="E326" s="1">
        <v>-10278.27</v>
      </c>
      <c r="F326" s="1" t="str">
        <f>_xlfn.XLOOKUP(B326,Mapping!A:A,Mapping!B:B)</f>
        <v>Employee Benefits</v>
      </c>
      <c r="G326" s="1" t="str">
        <f>_xlfn.XLOOKUP(B326,Mapping!A:A,Mapping!C:C)</f>
        <v>Personnel</v>
      </c>
    </row>
    <row r="327" spans="1:7">
      <c r="A327" s="1">
        <v>46326</v>
      </c>
      <c r="B327" s="1">
        <v>6000</v>
      </c>
      <c r="C327" s="1" t="s">
        <v>26</v>
      </c>
      <c r="D327" s="1" t="s">
        <v>27</v>
      </c>
      <c r="E327" s="1">
        <v>-9560.43</v>
      </c>
      <c r="F327" s="1" t="str">
        <f>_xlfn.XLOOKUP(B327,Mapping!A:A,Mapping!B:B)</f>
        <v xml:space="preserve">Rent </v>
      </c>
      <c r="G327" s="1" t="str">
        <f>_xlfn.XLOOKUP(B327,Mapping!A:A,Mapping!C:C)</f>
        <v>Other OPEX</v>
      </c>
    </row>
    <row r="328" spans="1:7">
      <c r="A328" s="1">
        <v>46326</v>
      </c>
      <c r="B328" s="1">
        <v>6100</v>
      </c>
      <c r="C328" s="1" t="s">
        <v>26</v>
      </c>
      <c r="D328" s="1" t="s">
        <v>27</v>
      </c>
      <c r="E328" s="1">
        <v>-7551.77</v>
      </c>
      <c r="F328" s="1" t="str">
        <f>_xlfn.XLOOKUP(B328,Mapping!A:A,Mapping!B:B)</f>
        <v>IT &amp; Software</v>
      </c>
      <c r="G328" s="1" t="str">
        <f>_xlfn.XLOOKUP(B328,Mapping!A:A,Mapping!C:C)</f>
        <v>Other OPEX</v>
      </c>
    </row>
    <row r="329" spans="1:7">
      <c r="A329" s="1">
        <v>46326</v>
      </c>
      <c r="B329" s="1">
        <v>6200</v>
      </c>
      <c r="C329" s="1" t="s">
        <v>26</v>
      </c>
      <c r="D329" s="1" t="s">
        <v>27</v>
      </c>
      <c r="E329" s="1">
        <v>-5993.78</v>
      </c>
      <c r="F329" s="1" t="str">
        <f>_xlfn.XLOOKUP(B329,Mapping!A:A,Mapping!B:B)</f>
        <v>Marketing</v>
      </c>
      <c r="G329" s="1" t="str">
        <f>_xlfn.XLOOKUP(B329,Mapping!A:A,Mapping!C:C)</f>
        <v>Other OPEX</v>
      </c>
    </row>
    <row r="330" spans="1:7">
      <c r="A330" s="1">
        <v>46326</v>
      </c>
      <c r="B330" s="1">
        <v>6300</v>
      </c>
      <c r="C330" s="1" t="s">
        <v>26</v>
      </c>
      <c r="D330" s="1" t="s">
        <v>27</v>
      </c>
      <c r="E330" s="1">
        <v>-3381.24</v>
      </c>
      <c r="F330" s="1" t="str">
        <f>_xlfn.XLOOKUP(B330,Mapping!A:A,Mapping!B:B)</f>
        <v>Travel</v>
      </c>
      <c r="G330" s="1" t="str">
        <f>_xlfn.XLOOKUP(B330,Mapping!A:A,Mapping!C:C)</f>
        <v>Other OPEX</v>
      </c>
    </row>
    <row r="331" spans="1:7">
      <c r="A331" s="1">
        <v>46326</v>
      </c>
      <c r="B331" s="1">
        <v>6400</v>
      </c>
      <c r="C331" s="1" t="s">
        <v>26</v>
      </c>
      <c r="D331" s="1" t="s">
        <v>27</v>
      </c>
      <c r="E331" s="1">
        <v>-4870.99</v>
      </c>
      <c r="F331" s="1" t="str">
        <f>_xlfn.XLOOKUP(B331,Mapping!A:A,Mapping!B:B)</f>
        <v>Professional Services</v>
      </c>
      <c r="G331" s="1" t="str">
        <f>_xlfn.XLOOKUP(B331,Mapping!A:A,Mapping!C:C)</f>
        <v>Other OPEX</v>
      </c>
    </row>
    <row r="332" spans="1:7">
      <c r="A332" s="1">
        <v>46356</v>
      </c>
      <c r="B332" s="1">
        <v>3000</v>
      </c>
      <c r="C332" s="1" t="s">
        <v>22</v>
      </c>
      <c r="D332" s="1" t="s">
        <v>23</v>
      </c>
      <c r="E332" s="1">
        <v>353418.75</v>
      </c>
      <c r="F332" s="1" t="str">
        <f>_xlfn.XLOOKUP(B332,Mapping!A:A,Mapping!B:B)</f>
        <v>Product Sales</v>
      </c>
      <c r="G332" s="1" t="str">
        <f>_xlfn.XLOOKUP(B332,Mapping!A:A,Mapping!C:C)</f>
        <v>Revenue</v>
      </c>
    </row>
    <row r="333" spans="1:7">
      <c r="A333" s="1">
        <v>46356</v>
      </c>
      <c r="B333" s="1">
        <v>3100</v>
      </c>
      <c r="C333" s="1" t="s">
        <v>22</v>
      </c>
      <c r="D333" s="1" t="s">
        <v>23</v>
      </c>
      <c r="E333" s="1">
        <v>91327.5</v>
      </c>
      <c r="F333" s="1" t="str">
        <f>_xlfn.XLOOKUP(B333,Mapping!A:A,Mapping!B:B)</f>
        <v>Service Revenue</v>
      </c>
      <c r="G333" s="1" t="str">
        <f>_xlfn.XLOOKUP(B333,Mapping!A:A,Mapping!C:C)</f>
        <v>Revenue</v>
      </c>
    </row>
    <row r="334" spans="1:7">
      <c r="A334" s="1">
        <v>46356</v>
      </c>
      <c r="B334" s="1">
        <v>4000</v>
      </c>
      <c r="C334" s="1" t="s">
        <v>22</v>
      </c>
      <c r="D334" s="1" t="s">
        <v>23</v>
      </c>
      <c r="E334" s="1">
        <v>-142290</v>
      </c>
      <c r="F334" s="1" t="str">
        <f>_xlfn.XLOOKUP(B334,Mapping!A:A,Mapping!B:B)</f>
        <v>Materials</v>
      </c>
      <c r="G334" s="1" t="str">
        <f>_xlfn.XLOOKUP(B334,Mapping!A:A,Mapping!C:C)</f>
        <v>COGS</v>
      </c>
    </row>
    <row r="335" spans="1:7">
      <c r="A335" s="1">
        <v>46356</v>
      </c>
      <c r="B335" s="1">
        <v>4100</v>
      </c>
      <c r="C335" s="1" t="s">
        <v>22</v>
      </c>
      <c r="D335" s="1" t="s">
        <v>23</v>
      </c>
      <c r="E335" s="1">
        <v>-28665</v>
      </c>
      <c r="F335" s="1" t="str">
        <f>_xlfn.XLOOKUP(B335,Mapping!A:A,Mapping!B:B)</f>
        <v>Freight &amp; Logistics</v>
      </c>
      <c r="G335" s="1" t="str">
        <f>_xlfn.XLOOKUP(B335,Mapping!A:A,Mapping!C:C)</f>
        <v>COGS</v>
      </c>
    </row>
    <row r="336" spans="1:7">
      <c r="A336" s="1">
        <v>46356</v>
      </c>
      <c r="B336" s="1">
        <v>5000</v>
      </c>
      <c r="C336" s="1" t="s">
        <v>22</v>
      </c>
      <c r="D336" s="1" t="s">
        <v>23</v>
      </c>
      <c r="E336" s="1">
        <v>-79537.5</v>
      </c>
      <c r="F336" s="1" t="str">
        <f>_xlfn.XLOOKUP(B336,Mapping!A:A,Mapping!B:B)</f>
        <v>Salaries</v>
      </c>
      <c r="G336" s="1" t="str">
        <f>_xlfn.XLOOKUP(B336,Mapping!A:A,Mapping!C:C)</f>
        <v>Personnel</v>
      </c>
    </row>
    <row r="337" spans="1:7">
      <c r="A337" s="1">
        <v>46356</v>
      </c>
      <c r="B337" s="1">
        <v>5100</v>
      </c>
      <c r="C337" s="1" t="s">
        <v>22</v>
      </c>
      <c r="D337" s="1" t="s">
        <v>23</v>
      </c>
      <c r="E337" s="1">
        <v>-16914.38</v>
      </c>
      <c r="F337" s="1" t="str">
        <f>_xlfn.XLOOKUP(B337,Mapping!A:A,Mapping!B:B)</f>
        <v>Employee Benefits</v>
      </c>
      <c r="G337" s="1" t="str">
        <f>_xlfn.XLOOKUP(B337,Mapping!A:A,Mapping!C:C)</f>
        <v>Personnel</v>
      </c>
    </row>
    <row r="338" spans="1:7">
      <c r="A338" s="1">
        <v>46356</v>
      </c>
      <c r="B338" s="1">
        <v>6000</v>
      </c>
      <c r="C338" s="1" t="s">
        <v>22</v>
      </c>
      <c r="D338" s="1" t="s">
        <v>23</v>
      </c>
      <c r="E338" s="1">
        <v>-16875</v>
      </c>
      <c r="F338" s="1" t="str">
        <f>_xlfn.XLOOKUP(B338,Mapping!A:A,Mapping!B:B)</f>
        <v xml:space="preserve">Rent </v>
      </c>
      <c r="G338" s="1" t="str">
        <f>_xlfn.XLOOKUP(B338,Mapping!A:A,Mapping!C:C)</f>
        <v>Other OPEX</v>
      </c>
    </row>
    <row r="339" spans="1:7">
      <c r="A339" s="1">
        <v>46356</v>
      </c>
      <c r="B339" s="1">
        <v>6100</v>
      </c>
      <c r="C339" s="1" t="s">
        <v>22</v>
      </c>
      <c r="D339" s="1" t="s">
        <v>23</v>
      </c>
      <c r="E339" s="1">
        <v>-13325.62</v>
      </c>
      <c r="F339" s="1" t="str">
        <f>_xlfn.XLOOKUP(B339,Mapping!A:A,Mapping!B:B)</f>
        <v>IT &amp; Software</v>
      </c>
      <c r="G339" s="1" t="str">
        <f>_xlfn.XLOOKUP(B339,Mapping!A:A,Mapping!C:C)</f>
        <v>Other OPEX</v>
      </c>
    </row>
    <row r="340" spans="1:7">
      <c r="A340" s="1">
        <v>46356</v>
      </c>
      <c r="B340" s="1">
        <v>6200</v>
      </c>
      <c r="C340" s="1" t="s">
        <v>22</v>
      </c>
      <c r="D340" s="1" t="s">
        <v>23</v>
      </c>
      <c r="E340" s="1">
        <v>-10580.62</v>
      </c>
      <c r="F340" s="1" t="str">
        <f>_xlfn.XLOOKUP(B340,Mapping!A:A,Mapping!B:B)</f>
        <v>Marketing</v>
      </c>
      <c r="G340" s="1" t="str">
        <f>_xlfn.XLOOKUP(B340,Mapping!A:A,Mapping!C:C)</f>
        <v>Other OPEX</v>
      </c>
    </row>
    <row r="341" spans="1:7">
      <c r="A341" s="1">
        <v>46356</v>
      </c>
      <c r="B341" s="1">
        <v>6300</v>
      </c>
      <c r="C341" s="1" t="s">
        <v>22</v>
      </c>
      <c r="D341" s="1" t="s">
        <v>23</v>
      </c>
      <c r="E341" s="1">
        <v>-5967</v>
      </c>
      <c r="F341" s="1" t="str">
        <f>_xlfn.XLOOKUP(B341,Mapping!A:A,Mapping!B:B)</f>
        <v>Travel</v>
      </c>
      <c r="G341" s="1" t="str">
        <f>_xlfn.XLOOKUP(B341,Mapping!A:A,Mapping!C:C)</f>
        <v>Other OPEX</v>
      </c>
    </row>
    <row r="342" spans="1:7">
      <c r="A342" s="1">
        <v>46356</v>
      </c>
      <c r="B342" s="1">
        <v>6400</v>
      </c>
      <c r="C342" s="1" t="s">
        <v>22</v>
      </c>
      <c r="D342" s="1" t="s">
        <v>23</v>
      </c>
      <c r="E342" s="1">
        <v>-8599.5</v>
      </c>
      <c r="F342" s="1" t="str">
        <f>_xlfn.XLOOKUP(B342,Mapping!A:A,Mapping!B:B)</f>
        <v>Professional Services</v>
      </c>
      <c r="G342" s="1" t="str">
        <f>_xlfn.XLOOKUP(B342,Mapping!A:A,Mapping!C:C)</f>
        <v>Other OPEX</v>
      </c>
    </row>
    <row r="343" spans="1:7">
      <c r="A343" s="1">
        <v>46356</v>
      </c>
      <c r="B343" s="1">
        <v>3000</v>
      </c>
      <c r="C343" s="1" t="s">
        <v>24</v>
      </c>
      <c r="D343" s="1" t="s">
        <v>25</v>
      </c>
      <c r="E343" s="1">
        <v>281362.5</v>
      </c>
      <c r="F343" s="1" t="str">
        <f>_xlfn.XLOOKUP(B343,Mapping!A:A,Mapping!B:B)</f>
        <v>Product Sales</v>
      </c>
      <c r="G343" s="1" t="str">
        <f>_xlfn.XLOOKUP(B343,Mapping!A:A,Mapping!C:C)</f>
        <v>Revenue</v>
      </c>
    </row>
    <row r="344" spans="1:7">
      <c r="A344" s="1">
        <v>46356</v>
      </c>
      <c r="B344" s="1">
        <v>3100</v>
      </c>
      <c r="C344" s="1" t="s">
        <v>24</v>
      </c>
      <c r="D344" s="1" t="s">
        <v>25</v>
      </c>
      <c r="E344" s="1">
        <v>77914.350000000006</v>
      </c>
      <c r="F344" s="1" t="str">
        <f>_xlfn.XLOOKUP(B344,Mapping!A:A,Mapping!B:B)</f>
        <v>Service Revenue</v>
      </c>
      <c r="G344" s="1" t="str">
        <f>_xlfn.XLOOKUP(B344,Mapping!A:A,Mapping!C:C)</f>
        <v>Revenue</v>
      </c>
    </row>
    <row r="345" spans="1:7">
      <c r="A345" s="1">
        <v>46356</v>
      </c>
      <c r="B345" s="1">
        <v>4000</v>
      </c>
      <c r="C345" s="1" t="s">
        <v>24</v>
      </c>
      <c r="D345" s="1" t="s">
        <v>25</v>
      </c>
      <c r="E345" s="1">
        <v>-113246.1</v>
      </c>
      <c r="F345" s="1" t="str">
        <f>_xlfn.XLOOKUP(B345,Mapping!A:A,Mapping!B:B)</f>
        <v>Materials</v>
      </c>
      <c r="G345" s="1" t="str">
        <f>_xlfn.XLOOKUP(B345,Mapping!A:A,Mapping!C:C)</f>
        <v>COGS</v>
      </c>
    </row>
    <row r="346" spans="1:7">
      <c r="A346" s="1">
        <v>46356</v>
      </c>
      <c r="B346" s="1">
        <v>4100</v>
      </c>
      <c r="C346" s="1" t="s">
        <v>24</v>
      </c>
      <c r="D346" s="1" t="s">
        <v>25</v>
      </c>
      <c r="E346" s="1">
        <v>-24464.7</v>
      </c>
      <c r="F346" s="1" t="str">
        <f>_xlfn.XLOOKUP(B346,Mapping!A:A,Mapping!B:B)</f>
        <v>Freight &amp; Logistics</v>
      </c>
      <c r="G346" s="1" t="str">
        <f>_xlfn.XLOOKUP(B346,Mapping!A:A,Mapping!C:C)</f>
        <v>COGS</v>
      </c>
    </row>
    <row r="347" spans="1:7">
      <c r="A347" s="1">
        <v>46356</v>
      </c>
      <c r="B347" s="1">
        <v>5000</v>
      </c>
      <c r="C347" s="1" t="s">
        <v>24</v>
      </c>
      <c r="D347" s="1" t="s">
        <v>25</v>
      </c>
      <c r="E347" s="1">
        <v>-63283.5</v>
      </c>
      <c r="F347" s="1" t="str">
        <f>_xlfn.XLOOKUP(B347,Mapping!A:A,Mapping!B:B)</f>
        <v>Salaries</v>
      </c>
      <c r="G347" s="1" t="str">
        <f>_xlfn.XLOOKUP(B347,Mapping!A:A,Mapping!C:C)</f>
        <v>Personnel</v>
      </c>
    </row>
    <row r="348" spans="1:7">
      <c r="A348" s="1">
        <v>46356</v>
      </c>
      <c r="B348" s="1">
        <v>5100</v>
      </c>
      <c r="C348" s="1" t="s">
        <v>24</v>
      </c>
      <c r="D348" s="1" t="s">
        <v>25</v>
      </c>
      <c r="E348" s="1">
        <v>-14441.74</v>
      </c>
      <c r="F348" s="1" t="str">
        <f>_xlfn.XLOOKUP(B348,Mapping!A:A,Mapping!B:B)</f>
        <v>Employee Benefits</v>
      </c>
      <c r="G348" s="1" t="str">
        <f>_xlfn.XLOOKUP(B348,Mapping!A:A,Mapping!C:C)</f>
        <v>Personnel</v>
      </c>
    </row>
    <row r="349" spans="1:7">
      <c r="A349" s="1">
        <v>46356</v>
      </c>
      <c r="B349" s="1">
        <v>6000</v>
      </c>
      <c r="C349" s="1" t="s">
        <v>24</v>
      </c>
      <c r="D349" s="1" t="s">
        <v>25</v>
      </c>
      <c r="E349" s="1">
        <v>-13422.38</v>
      </c>
      <c r="F349" s="1" t="str">
        <f>_xlfn.XLOOKUP(B349,Mapping!A:A,Mapping!B:B)</f>
        <v xml:space="preserve">Rent </v>
      </c>
      <c r="G349" s="1" t="str">
        <f>_xlfn.XLOOKUP(B349,Mapping!A:A,Mapping!C:C)</f>
        <v>Other OPEX</v>
      </c>
    </row>
    <row r="350" spans="1:7">
      <c r="A350" s="1">
        <v>46356</v>
      </c>
      <c r="B350" s="1">
        <v>6100</v>
      </c>
      <c r="C350" s="1" t="s">
        <v>24</v>
      </c>
      <c r="D350" s="1" t="s">
        <v>25</v>
      </c>
      <c r="E350" s="1">
        <v>-10608.75</v>
      </c>
      <c r="F350" s="1" t="str">
        <f>_xlfn.XLOOKUP(B350,Mapping!A:A,Mapping!B:B)</f>
        <v>IT &amp; Software</v>
      </c>
      <c r="G350" s="1" t="str">
        <f>_xlfn.XLOOKUP(B350,Mapping!A:A,Mapping!C:C)</f>
        <v>Other OPEX</v>
      </c>
    </row>
    <row r="351" spans="1:7">
      <c r="A351" s="1">
        <v>46356</v>
      </c>
      <c r="B351" s="1">
        <v>6200</v>
      </c>
      <c r="C351" s="1" t="s">
        <v>24</v>
      </c>
      <c r="D351" s="1" t="s">
        <v>25</v>
      </c>
      <c r="E351" s="1">
        <v>-9026.66</v>
      </c>
      <c r="F351" s="1" t="str">
        <f>_xlfn.XLOOKUP(B351,Mapping!A:A,Mapping!B:B)</f>
        <v>Marketing</v>
      </c>
      <c r="G351" s="1" t="str">
        <f>_xlfn.XLOOKUP(B351,Mapping!A:A,Mapping!C:C)</f>
        <v>Other OPEX</v>
      </c>
    </row>
    <row r="352" spans="1:7">
      <c r="A352" s="1">
        <v>46356</v>
      </c>
      <c r="B352" s="1">
        <v>6300</v>
      </c>
      <c r="C352" s="1" t="s">
        <v>24</v>
      </c>
      <c r="D352" s="1" t="s">
        <v>25</v>
      </c>
      <c r="E352" s="1">
        <v>-4749.03</v>
      </c>
      <c r="F352" s="1" t="str">
        <f>_xlfn.XLOOKUP(B352,Mapping!A:A,Mapping!B:B)</f>
        <v>Travel</v>
      </c>
      <c r="G352" s="1" t="str">
        <f>_xlfn.XLOOKUP(B352,Mapping!A:A,Mapping!C:C)</f>
        <v>Other OPEX</v>
      </c>
    </row>
    <row r="353" spans="1:7">
      <c r="A353" s="1">
        <v>46356</v>
      </c>
      <c r="B353" s="1">
        <v>6400</v>
      </c>
      <c r="C353" s="1" t="s">
        <v>24</v>
      </c>
      <c r="D353" s="1" t="s">
        <v>25</v>
      </c>
      <c r="E353" s="1">
        <v>-7339.41</v>
      </c>
      <c r="F353" s="1" t="str">
        <f>_xlfn.XLOOKUP(B353,Mapping!A:A,Mapping!B:B)</f>
        <v>Professional Services</v>
      </c>
      <c r="G353" s="1" t="str">
        <f>_xlfn.XLOOKUP(B353,Mapping!A:A,Mapping!C:C)</f>
        <v>Other OPEX</v>
      </c>
    </row>
    <row r="354" spans="1:7">
      <c r="A354" s="1">
        <v>46356</v>
      </c>
      <c r="B354" s="1">
        <v>3000</v>
      </c>
      <c r="C354" s="1" t="s">
        <v>26</v>
      </c>
      <c r="D354" s="1" t="s">
        <v>27</v>
      </c>
      <c r="E354" s="1">
        <v>193042.12</v>
      </c>
      <c r="F354" s="1" t="str">
        <f>_xlfn.XLOOKUP(B354,Mapping!A:A,Mapping!B:B)</f>
        <v>Product Sales</v>
      </c>
      <c r="G354" s="1" t="str">
        <f>_xlfn.XLOOKUP(B354,Mapping!A:A,Mapping!C:C)</f>
        <v>Revenue</v>
      </c>
    </row>
    <row r="355" spans="1:7">
      <c r="A355" s="1">
        <v>46356</v>
      </c>
      <c r="B355" s="1">
        <v>3100</v>
      </c>
      <c r="C355" s="1" t="s">
        <v>26</v>
      </c>
      <c r="D355" s="1" t="s">
        <v>27</v>
      </c>
      <c r="E355" s="1">
        <v>53505</v>
      </c>
      <c r="F355" s="1" t="str">
        <f>_xlfn.XLOOKUP(B355,Mapping!A:A,Mapping!B:B)</f>
        <v>Service Revenue</v>
      </c>
      <c r="G355" s="1" t="str">
        <f>_xlfn.XLOOKUP(B355,Mapping!A:A,Mapping!C:C)</f>
        <v>Revenue</v>
      </c>
    </row>
    <row r="356" spans="1:7">
      <c r="A356" s="1">
        <v>46356</v>
      </c>
      <c r="B356" s="1">
        <v>4000</v>
      </c>
      <c r="C356" s="1" t="s">
        <v>26</v>
      </c>
      <c r="D356" s="1" t="s">
        <v>27</v>
      </c>
      <c r="E356" s="1">
        <v>-83337.3</v>
      </c>
      <c r="F356" s="1" t="str">
        <f>_xlfn.XLOOKUP(B356,Mapping!A:A,Mapping!B:B)</f>
        <v>Materials</v>
      </c>
      <c r="G356" s="1" t="str">
        <f>_xlfn.XLOOKUP(B356,Mapping!A:A,Mapping!C:C)</f>
        <v>COGS</v>
      </c>
    </row>
    <row r="357" spans="1:7">
      <c r="A357" s="1">
        <v>46356</v>
      </c>
      <c r="B357" s="1">
        <v>4100</v>
      </c>
      <c r="C357" s="1" t="s">
        <v>26</v>
      </c>
      <c r="D357" s="1" t="s">
        <v>27</v>
      </c>
      <c r="E357" s="1">
        <v>-16795.349999999999</v>
      </c>
      <c r="F357" s="1" t="str">
        <f>_xlfn.XLOOKUP(B357,Mapping!A:A,Mapping!B:B)</f>
        <v>Freight &amp; Logistics</v>
      </c>
      <c r="G357" s="1" t="str">
        <f>_xlfn.XLOOKUP(B357,Mapping!A:A,Mapping!C:C)</f>
        <v>COGS</v>
      </c>
    </row>
    <row r="358" spans="1:7">
      <c r="A358" s="1">
        <v>46356</v>
      </c>
      <c r="B358" s="1">
        <v>5000</v>
      </c>
      <c r="C358" s="1" t="s">
        <v>26</v>
      </c>
      <c r="D358" s="1" t="s">
        <v>27</v>
      </c>
      <c r="E358" s="1">
        <v>-46588.5</v>
      </c>
      <c r="F358" s="1" t="str">
        <f>_xlfn.XLOOKUP(B358,Mapping!A:A,Mapping!B:B)</f>
        <v>Salaries</v>
      </c>
      <c r="G358" s="1" t="str">
        <f>_xlfn.XLOOKUP(B358,Mapping!A:A,Mapping!C:C)</f>
        <v>Personnel</v>
      </c>
    </row>
    <row r="359" spans="1:7">
      <c r="A359" s="1">
        <v>46356</v>
      </c>
      <c r="B359" s="1">
        <v>5100</v>
      </c>
      <c r="C359" s="1" t="s">
        <v>26</v>
      </c>
      <c r="D359" s="1" t="s">
        <v>27</v>
      </c>
      <c r="E359" s="1">
        <v>-9911.48</v>
      </c>
      <c r="F359" s="1" t="str">
        <f>_xlfn.XLOOKUP(B359,Mapping!A:A,Mapping!B:B)</f>
        <v>Employee Benefits</v>
      </c>
      <c r="G359" s="1" t="str">
        <f>_xlfn.XLOOKUP(B359,Mapping!A:A,Mapping!C:C)</f>
        <v>Personnel</v>
      </c>
    </row>
    <row r="360" spans="1:7">
      <c r="A360" s="1">
        <v>46356</v>
      </c>
      <c r="B360" s="1">
        <v>6000</v>
      </c>
      <c r="C360" s="1" t="s">
        <v>26</v>
      </c>
      <c r="D360" s="1" t="s">
        <v>27</v>
      </c>
      <c r="E360" s="1">
        <v>-9885.3799999999992</v>
      </c>
      <c r="F360" s="1" t="str">
        <f>_xlfn.XLOOKUP(B360,Mapping!A:A,Mapping!B:B)</f>
        <v xml:space="preserve">Rent </v>
      </c>
      <c r="G360" s="1" t="str">
        <f>_xlfn.XLOOKUP(B360,Mapping!A:A,Mapping!C:C)</f>
        <v>Other OPEX</v>
      </c>
    </row>
    <row r="361" spans="1:7">
      <c r="A361" s="1">
        <v>46356</v>
      </c>
      <c r="B361" s="1">
        <v>6100</v>
      </c>
      <c r="C361" s="1" t="s">
        <v>26</v>
      </c>
      <c r="D361" s="1" t="s">
        <v>27</v>
      </c>
      <c r="E361" s="1">
        <v>-7278.64</v>
      </c>
      <c r="F361" s="1" t="str">
        <f>_xlfn.XLOOKUP(B361,Mapping!A:A,Mapping!B:B)</f>
        <v>IT &amp; Software</v>
      </c>
      <c r="G361" s="1" t="str">
        <f>_xlfn.XLOOKUP(B361,Mapping!A:A,Mapping!C:C)</f>
        <v>Other OPEX</v>
      </c>
    </row>
    <row r="362" spans="1:7">
      <c r="A362" s="1">
        <v>46356</v>
      </c>
      <c r="B362" s="1">
        <v>6200</v>
      </c>
      <c r="C362" s="1" t="s">
        <v>26</v>
      </c>
      <c r="D362" s="1" t="s">
        <v>27</v>
      </c>
      <c r="E362" s="1">
        <v>-6198.75</v>
      </c>
      <c r="F362" s="1" t="str">
        <f>_xlfn.XLOOKUP(B362,Mapping!A:A,Mapping!B:B)</f>
        <v>Marketing</v>
      </c>
      <c r="G362" s="1" t="str">
        <f>_xlfn.XLOOKUP(B362,Mapping!A:A,Mapping!C:C)</f>
        <v>Other OPEX</v>
      </c>
    </row>
    <row r="363" spans="1:7">
      <c r="A363" s="1">
        <v>46356</v>
      </c>
      <c r="B363" s="1">
        <v>6300</v>
      </c>
      <c r="C363" s="1" t="s">
        <v>26</v>
      </c>
      <c r="D363" s="1" t="s">
        <v>27</v>
      </c>
      <c r="E363" s="1">
        <v>-3494.79</v>
      </c>
      <c r="F363" s="1" t="str">
        <f>_xlfn.XLOOKUP(B363,Mapping!A:A,Mapping!B:B)</f>
        <v>Travel</v>
      </c>
      <c r="G363" s="1" t="str">
        <f>_xlfn.XLOOKUP(B363,Mapping!A:A,Mapping!C:C)</f>
        <v>Other OPEX</v>
      </c>
    </row>
    <row r="364" spans="1:7">
      <c r="A364" s="1">
        <v>46356</v>
      </c>
      <c r="B364" s="1">
        <v>6400</v>
      </c>
      <c r="C364" s="1" t="s">
        <v>26</v>
      </c>
      <c r="D364" s="1" t="s">
        <v>27</v>
      </c>
      <c r="E364" s="1">
        <v>-5038.6000000000004</v>
      </c>
      <c r="F364" s="1" t="str">
        <f>_xlfn.XLOOKUP(B364,Mapping!A:A,Mapping!B:B)</f>
        <v>Professional Services</v>
      </c>
      <c r="G364" s="1" t="str">
        <f>_xlfn.XLOOKUP(B364,Mapping!A:A,Mapping!C:C)</f>
        <v>Other OPEX</v>
      </c>
    </row>
    <row r="365" spans="1:7">
      <c r="A365" s="1">
        <v>46387</v>
      </c>
      <c r="B365" s="1">
        <v>3000</v>
      </c>
      <c r="C365" s="1" t="s">
        <v>22</v>
      </c>
      <c r="D365" s="1" t="s">
        <v>23</v>
      </c>
      <c r="E365" s="1">
        <v>340746</v>
      </c>
      <c r="F365" s="1" t="str">
        <f>_xlfn.XLOOKUP(B365,Mapping!A:A,Mapping!B:B)</f>
        <v>Product Sales</v>
      </c>
      <c r="G365" s="1" t="str">
        <f>_xlfn.XLOOKUP(B365,Mapping!A:A,Mapping!C:C)</f>
        <v>Revenue</v>
      </c>
    </row>
    <row r="366" spans="1:7">
      <c r="A366" s="1">
        <v>46387</v>
      </c>
      <c r="B366" s="1">
        <v>3100</v>
      </c>
      <c r="C366" s="1" t="s">
        <v>22</v>
      </c>
      <c r="D366" s="1" t="s">
        <v>23</v>
      </c>
      <c r="E366" s="1">
        <v>94414.8</v>
      </c>
      <c r="F366" s="1" t="str">
        <f>_xlfn.XLOOKUP(B366,Mapping!A:A,Mapping!B:B)</f>
        <v>Service Revenue</v>
      </c>
      <c r="G366" s="1" t="str">
        <f>_xlfn.XLOOKUP(B366,Mapping!A:A,Mapping!C:C)</f>
        <v>Revenue</v>
      </c>
    </row>
    <row r="367" spans="1:7">
      <c r="A367" s="1">
        <v>46387</v>
      </c>
      <c r="B367" s="1">
        <v>4000</v>
      </c>
      <c r="C367" s="1" t="s">
        <v>22</v>
      </c>
      <c r="D367" s="1" t="s">
        <v>23</v>
      </c>
      <c r="E367" s="1">
        <v>-137119.20000000001</v>
      </c>
      <c r="F367" s="1" t="str">
        <f>_xlfn.XLOOKUP(B367,Mapping!A:A,Mapping!B:B)</f>
        <v>Materials</v>
      </c>
      <c r="G367" s="1" t="str">
        <f>_xlfn.XLOOKUP(B367,Mapping!A:A,Mapping!C:C)</f>
        <v>COGS</v>
      </c>
    </row>
    <row r="368" spans="1:7">
      <c r="A368" s="1">
        <v>46387</v>
      </c>
      <c r="B368" s="1">
        <v>4100</v>
      </c>
      <c r="C368" s="1" t="s">
        <v>22</v>
      </c>
      <c r="D368" s="1" t="s">
        <v>23</v>
      </c>
      <c r="E368" s="1">
        <v>-29640</v>
      </c>
      <c r="F368" s="1" t="str">
        <f>_xlfn.XLOOKUP(B368,Mapping!A:A,Mapping!B:B)</f>
        <v>Freight &amp; Logistics</v>
      </c>
      <c r="G368" s="1" t="str">
        <f>_xlfn.XLOOKUP(B368,Mapping!A:A,Mapping!C:C)</f>
        <v>COGS</v>
      </c>
    </row>
    <row r="369" spans="1:7">
      <c r="A369" s="1">
        <v>46387</v>
      </c>
      <c r="B369" s="1">
        <v>5000</v>
      </c>
      <c r="C369" s="1" t="s">
        <v>22</v>
      </c>
      <c r="D369" s="1" t="s">
        <v>23</v>
      </c>
      <c r="E369" s="1">
        <v>-82194</v>
      </c>
      <c r="F369" s="1" t="str">
        <f>_xlfn.XLOOKUP(B369,Mapping!A:A,Mapping!B:B)</f>
        <v>Salaries</v>
      </c>
      <c r="G369" s="1" t="str">
        <f>_xlfn.XLOOKUP(B369,Mapping!A:A,Mapping!C:C)</f>
        <v>Personnel</v>
      </c>
    </row>
    <row r="370" spans="1:7">
      <c r="A370" s="1">
        <v>46387</v>
      </c>
      <c r="B370" s="1">
        <v>5100</v>
      </c>
      <c r="C370" s="1" t="s">
        <v>22</v>
      </c>
      <c r="D370" s="1" t="s">
        <v>23</v>
      </c>
      <c r="E370" s="1">
        <v>-17493.3</v>
      </c>
      <c r="F370" s="1" t="str">
        <f>_xlfn.XLOOKUP(B370,Mapping!A:A,Mapping!B:B)</f>
        <v>Employee Benefits</v>
      </c>
      <c r="G370" s="1" t="str">
        <f>_xlfn.XLOOKUP(B370,Mapping!A:A,Mapping!C:C)</f>
        <v>Personnel</v>
      </c>
    </row>
    <row r="371" spans="1:7">
      <c r="A371" s="1">
        <v>46387</v>
      </c>
      <c r="B371" s="1">
        <v>6000</v>
      </c>
      <c r="C371" s="1" t="s">
        <v>22</v>
      </c>
      <c r="D371" s="1" t="s">
        <v>23</v>
      </c>
      <c r="E371" s="1">
        <v>-17442</v>
      </c>
      <c r="F371" s="1" t="str">
        <f>_xlfn.XLOOKUP(B371,Mapping!A:A,Mapping!B:B)</f>
        <v xml:space="preserve">Rent </v>
      </c>
      <c r="G371" s="1" t="str">
        <f>_xlfn.XLOOKUP(B371,Mapping!A:A,Mapping!C:C)</f>
        <v>Other OPEX</v>
      </c>
    </row>
    <row r="372" spans="1:7">
      <c r="A372" s="1">
        <v>46387</v>
      </c>
      <c r="B372" s="1">
        <v>6100</v>
      </c>
      <c r="C372" s="1" t="s">
        <v>22</v>
      </c>
      <c r="D372" s="1" t="s">
        <v>23</v>
      </c>
      <c r="E372" s="1">
        <v>-12847.8</v>
      </c>
      <c r="F372" s="1" t="str">
        <f>_xlfn.XLOOKUP(B372,Mapping!A:A,Mapping!B:B)</f>
        <v>IT &amp; Software</v>
      </c>
      <c r="G372" s="1" t="str">
        <f>_xlfn.XLOOKUP(B372,Mapping!A:A,Mapping!C:C)</f>
        <v>Other OPEX</v>
      </c>
    </row>
    <row r="373" spans="1:7">
      <c r="A373" s="1">
        <v>46387</v>
      </c>
      <c r="B373" s="1">
        <v>6200</v>
      </c>
      <c r="C373" s="1" t="s">
        <v>22</v>
      </c>
      <c r="D373" s="1" t="s">
        <v>23</v>
      </c>
      <c r="E373" s="1">
        <v>-10938.3</v>
      </c>
      <c r="F373" s="1" t="str">
        <f>_xlfn.XLOOKUP(B373,Mapping!A:A,Mapping!B:B)</f>
        <v>Marketing</v>
      </c>
      <c r="G373" s="1" t="str">
        <f>_xlfn.XLOOKUP(B373,Mapping!A:A,Mapping!C:C)</f>
        <v>Other OPEX</v>
      </c>
    </row>
    <row r="374" spans="1:7">
      <c r="A374" s="1">
        <v>46387</v>
      </c>
      <c r="B374" s="1">
        <v>6300</v>
      </c>
      <c r="C374" s="1" t="s">
        <v>22</v>
      </c>
      <c r="D374" s="1" t="s">
        <v>23</v>
      </c>
      <c r="E374" s="1">
        <v>-5750.16</v>
      </c>
      <c r="F374" s="1" t="str">
        <f>_xlfn.XLOOKUP(B374,Mapping!A:A,Mapping!B:B)</f>
        <v>Travel</v>
      </c>
      <c r="G374" s="1" t="str">
        <f>_xlfn.XLOOKUP(B374,Mapping!A:A,Mapping!C:C)</f>
        <v>Other OPEX</v>
      </c>
    </row>
    <row r="375" spans="1:7">
      <c r="A375" s="1">
        <v>46387</v>
      </c>
      <c r="B375" s="1">
        <v>6400</v>
      </c>
      <c r="C375" s="1" t="s">
        <v>22</v>
      </c>
      <c r="D375" s="1" t="s">
        <v>23</v>
      </c>
      <c r="E375" s="1">
        <v>-8892</v>
      </c>
      <c r="F375" s="1" t="str">
        <f>_xlfn.XLOOKUP(B375,Mapping!A:A,Mapping!B:B)</f>
        <v>Professional Services</v>
      </c>
      <c r="G375" s="1" t="str">
        <f>_xlfn.XLOOKUP(B375,Mapping!A:A,Mapping!C:C)</f>
        <v>Other OPEX</v>
      </c>
    </row>
    <row r="376" spans="1:7">
      <c r="A376" s="1">
        <v>46387</v>
      </c>
      <c r="B376" s="1">
        <v>3000</v>
      </c>
      <c r="C376" s="1" t="s">
        <v>24</v>
      </c>
      <c r="D376" s="1" t="s">
        <v>25</v>
      </c>
      <c r="E376" s="1">
        <v>290816.28000000003</v>
      </c>
      <c r="F376" s="1" t="str">
        <f>_xlfn.XLOOKUP(B376,Mapping!A:A,Mapping!B:B)</f>
        <v>Product Sales</v>
      </c>
      <c r="G376" s="1" t="str">
        <f>_xlfn.XLOOKUP(B376,Mapping!A:A,Mapping!C:C)</f>
        <v>Revenue</v>
      </c>
    </row>
    <row r="377" spans="1:7">
      <c r="A377" s="1">
        <v>46387</v>
      </c>
      <c r="B377" s="1">
        <v>3100</v>
      </c>
      <c r="C377" s="1" t="s">
        <v>24</v>
      </c>
      <c r="D377" s="1" t="s">
        <v>25</v>
      </c>
      <c r="E377" s="1">
        <v>75120.53</v>
      </c>
      <c r="F377" s="1" t="str">
        <f>_xlfn.XLOOKUP(B377,Mapping!A:A,Mapping!B:B)</f>
        <v>Service Revenue</v>
      </c>
      <c r="G377" s="1" t="str">
        <f>_xlfn.XLOOKUP(B377,Mapping!A:A,Mapping!C:C)</f>
        <v>Revenue</v>
      </c>
    </row>
    <row r="378" spans="1:7">
      <c r="A378" s="1">
        <v>46387</v>
      </c>
      <c r="B378" s="1">
        <v>4000</v>
      </c>
      <c r="C378" s="1" t="s">
        <v>24</v>
      </c>
      <c r="D378" s="1" t="s">
        <v>25</v>
      </c>
      <c r="E378" s="1">
        <v>-117074.35</v>
      </c>
      <c r="F378" s="1" t="str">
        <f>_xlfn.XLOOKUP(B378,Mapping!A:A,Mapping!B:B)</f>
        <v>Materials</v>
      </c>
      <c r="G378" s="1" t="str">
        <f>_xlfn.XLOOKUP(B378,Mapping!A:A,Mapping!C:C)</f>
        <v>COGS</v>
      </c>
    </row>
    <row r="379" spans="1:7">
      <c r="A379" s="1">
        <v>46387</v>
      </c>
      <c r="B379" s="1">
        <v>4100</v>
      </c>
      <c r="C379" s="1" t="s">
        <v>24</v>
      </c>
      <c r="D379" s="1" t="s">
        <v>25</v>
      </c>
      <c r="E379" s="1">
        <v>-23575.66</v>
      </c>
      <c r="F379" s="1" t="str">
        <f>_xlfn.XLOOKUP(B379,Mapping!A:A,Mapping!B:B)</f>
        <v>Freight &amp; Logistics</v>
      </c>
      <c r="G379" s="1" t="str">
        <f>_xlfn.XLOOKUP(B379,Mapping!A:A,Mapping!C:C)</f>
        <v>COGS</v>
      </c>
    </row>
    <row r="380" spans="1:7">
      <c r="A380" s="1">
        <v>46387</v>
      </c>
      <c r="B380" s="1">
        <v>5000</v>
      </c>
      <c r="C380" s="1" t="s">
        <v>24</v>
      </c>
      <c r="D380" s="1" t="s">
        <v>25</v>
      </c>
      <c r="E380" s="1">
        <v>-65436</v>
      </c>
      <c r="F380" s="1" t="str">
        <f>_xlfn.XLOOKUP(B380,Mapping!A:A,Mapping!B:B)</f>
        <v>Salaries</v>
      </c>
      <c r="G380" s="1" t="str">
        <f>_xlfn.XLOOKUP(B380,Mapping!A:A,Mapping!C:C)</f>
        <v>Personnel</v>
      </c>
    </row>
    <row r="381" spans="1:7">
      <c r="A381" s="1">
        <v>46387</v>
      </c>
      <c r="B381" s="1">
        <v>5100</v>
      </c>
      <c r="C381" s="1" t="s">
        <v>24</v>
      </c>
      <c r="D381" s="1" t="s">
        <v>25</v>
      </c>
      <c r="E381" s="1">
        <v>-14924.08</v>
      </c>
      <c r="F381" s="1" t="str">
        <f>_xlfn.XLOOKUP(B381,Mapping!A:A,Mapping!B:B)</f>
        <v>Employee Benefits</v>
      </c>
      <c r="G381" s="1" t="str">
        <f>_xlfn.XLOOKUP(B381,Mapping!A:A,Mapping!C:C)</f>
        <v>Personnel</v>
      </c>
    </row>
    <row r="382" spans="1:7">
      <c r="A382" s="1">
        <v>46387</v>
      </c>
      <c r="B382" s="1">
        <v>6000</v>
      </c>
      <c r="C382" s="1" t="s">
        <v>24</v>
      </c>
      <c r="D382" s="1" t="s">
        <v>25</v>
      </c>
      <c r="E382" s="1">
        <v>-13881.78</v>
      </c>
      <c r="F382" s="1" t="str">
        <f>_xlfn.XLOOKUP(B382,Mapping!A:A,Mapping!B:B)</f>
        <v xml:space="preserve">Rent </v>
      </c>
      <c r="G382" s="1" t="str">
        <f>_xlfn.XLOOKUP(B382,Mapping!A:A,Mapping!C:C)</f>
        <v>Other OPEX</v>
      </c>
    </row>
    <row r="383" spans="1:7">
      <c r="A383" s="1">
        <v>46387</v>
      </c>
      <c r="B383" s="1">
        <v>6100</v>
      </c>
      <c r="C383" s="1" t="s">
        <v>24</v>
      </c>
      <c r="D383" s="1" t="s">
        <v>25</v>
      </c>
      <c r="E383" s="1">
        <v>-10965.2</v>
      </c>
      <c r="F383" s="1" t="str">
        <f>_xlfn.XLOOKUP(B383,Mapping!A:A,Mapping!B:B)</f>
        <v>IT &amp; Software</v>
      </c>
      <c r="G383" s="1" t="str">
        <f>_xlfn.XLOOKUP(B383,Mapping!A:A,Mapping!C:C)</f>
        <v>Other OPEX</v>
      </c>
    </row>
    <row r="384" spans="1:7">
      <c r="A384" s="1">
        <v>46387</v>
      </c>
      <c r="B384" s="1">
        <v>6200</v>
      </c>
      <c r="C384" s="1" t="s">
        <v>24</v>
      </c>
      <c r="D384" s="1" t="s">
        <v>25</v>
      </c>
      <c r="E384" s="1">
        <v>-8702.99</v>
      </c>
      <c r="F384" s="1" t="str">
        <f>_xlfn.XLOOKUP(B384,Mapping!A:A,Mapping!B:B)</f>
        <v>Marketing</v>
      </c>
      <c r="G384" s="1" t="str">
        <f>_xlfn.XLOOKUP(B384,Mapping!A:A,Mapping!C:C)</f>
        <v>Other OPEX</v>
      </c>
    </row>
    <row r="385" spans="1:7">
      <c r="A385" s="1">
        <v>46387</v>
      </c>
      <c r="B385" s="1">
        <v>6300</v>
      </c>
      <c r="C385" s="1" t="s">
        <v>24</v>
      </c>
      <c r="D385" s="1" t="s">
        <v>25</v>
      </c>
      <c r="E385" s="1">
        <v>-4909.57</v>
      </c>
      <c r="F385" s="1" t="str">
        <f>_xlfn.XLOOKUP(B385,Mapping!A:A,Mapping!B:B)</f>
        <v>Travel</v>
      </c>
      <c r="G385" s="1" t="str">
        <f>_xlfn.XLOOKUP(B385,Mapping!A:A,Mapping!C:C)</f>
        <v>Other OPEX</v>
      </c>
    </row>
    <row r="386" spans="1:7">
      <c r="A386" s="1">
        <v>46387</v>
      </c>
      <c r="B386" s="1">
        <v>6400</v>
      </c>
      <c r="C386" s="1" t="s">
        <v>24</v>
      </c>
      <c r="D386" s="1" t="s">
        <v>25</v>
      </c>
      <c r="E386" s="1">
        <v>-7072.7</v>
      </c>
      <c r="F386" s="1" t="str">
        <f>_xlfn.XLOOKUP(B386,Mapping!A:A,Mapping!B:B)</f>
        <v>Professional Services</v>
      </c>
      <c r="G386" s="1" t="str">
        <f>_xlfn.XLOOKUP(B386,Mapping!A:A,Mapping!C:C)</f>
        <v>Other OPEX</v>
      </c>
    </row>
    <row r="387" spans="1:7">
      <c r="A387" s="1">
        <v>46387</v>
      </c>
      <c r="B387" s="1">
        <v>3000</v>
      </c>
      <c r="C387" s="1" t="s">
        <v>26</v>
      </c>
      <c r="D387" s="1" t="s">
        <v>27</v>
      </c>
      <c r="E387" s="1">
        <v>199649.34</v>
      </c>
      <c r="F387" s="1" t="str">
        <f>_xlfn.XLOOKUP(B387,Mapping!A:A,Mapping!B:B)</f>
        <v>Product Sales</v>
      </c>
      <c r="G387" s="1" t="str">
        <f>_xlfn.XLOOKUP(B387,Mapping!A:A,Mapping!C:C)</f>
        <v>Revenue</v>
      </c>
    </row>
    <row r="388" spans="1:7">
      <c r="A388" s="1">
        <v>46387</v>
      </c>
      <c r="B388" s="1">
        <v>3100</v>
      </c>
      <c r="C388" s="1" t="s">
        <v>26</v>
      </c>
      <c r="D388" s="1" t="s">
        <v>27</v>
      </c>
      <c r="E388" s="1">
        <v>55302.77</v>
      </c>
      <c r="F388" s="1" t="str">
        <f>_xlfn.XLOOKUP(B388,Mapping!A:A,Mapping!B:B)</f>
        <v>Service Revenue</v>
      </c>
      <c r="G388" s="1" t="str">
        <f>_xlfn.XLOOKUP(B388,Mapping!A:A,Mapping!C:C)</f>
        <v>Revenue</v>
      </c>
    </row>
    <row r="389" spans="1:7">
      <c r="A389" s="1">
        <v>46387</v>
      </c>
      <c r="B389" s="1">
        <v>4000</v>
      </c>
      <c r="C389" s="1" t="s">
        <v>26</v>
      </c>
      <c r="D389" s="1" t="s">
        <v>27</v>
      </c>
      <c r="E389" s="1">
        <v>-80349.02</v>
      </c>
      <c r="F389" s="1" t="str">
        <f>_xlfn.XLOOKUP(B389,Mapping!A:A,Mapping!B:B)</f>
        <v>Materials</v>
      </c>
      <c r="G389" s="1" t="str">
        <f>_xlfn.XLOOKUP(B389,Mapping!A:A,Mapping!C:C)</f>
        <v>COGS</v>
      </c>
    </row>
    <row r="390" spans="1:7">
      <c r="A390" s="1">
        <v>46387</v>
      </c>
      <c r="B390" s="1">
        <v>4100</v>
      </c>
      <c r="C390" s="1" t="s">
        <v>26</v>
      </c>
      <c r="D390" s="1" t="s">
        <v>27</v>
      </c>
      <c r="E390" s="1">
        <v>-17363.11</v>
      </c>
      <c r="F390" s="1" t="str">
        <f>_xlfn.XLOOKUP(B390,Mapping!A:A,Mapping!B:B)</f>
        <v>Freight &amp; Logistics</v>
      </c>
      <c r="G390" s="1" t="str">
        <f>_xlfn.XLOOKUP(B390,Mapping!A:A,Mapping!C:C)</f>
        <v>COGS</v>
      </c>
    </row>
    <row r="391" spans="1:7">
      <c r="A391" s="1">
        <v>46387</v>
      </c>
      <c r="B391" s="1">
        <v>5000</v>
      </c>
      <c r="C391" s="1" t="s">
        <v>26</v>
      </c>
      <c r="D391" s="1" t="s">
        <v>27</v>
      </c>
      <c r="E391" s="1">
        <v>-44895.48</v>
      </c>
      <c r="F391" s="1" t="str">
        <f>_xlfn.XLOOKUP(B391,Mapping!A:A,Mapping!B:B)</f>
        <v>Salaries</v>
      </c>
      <c r="G391" s="1" t="str">
        <f>_xlfn.XLOOKUP(B391,Mapping!A:A,Mapping!C:C)</f>
        <v>Personnel</v>
      </c>
    </row>
    <row r="392" spans="1:7">
      <c r="A392" s="1">
        <v>46387</v>
      </c>
      <c r="B392" s="1">
        <v>5100</v>
      </c>
      <c r="C392" s="1" t="s">
        <v>26</v>
      </c>
      <c r="D392" s="1" t="s">
        <v>27</v>
      </c>
      <c r="E392" s="1">
        <v>-10248.6</v>
      </c>
      <c r="F392" s="1" t="str">
        <f>_xlfn.XLOOKUP(B392,Mapping!A:A,Mapping!B:B)</f>
        <v>Employee Benefits</v>
      </c>
      <c r="G392" s="1" t="str">
        <f>_xlfn.XLOOKUP(B392,Mapping!A:A,Mapping!C:C)</f>
        <v>Personnel</v>
      </c>
    </row>
    <row r="393" spans="1:7">
      <c r="A393" s="1">
        <v>46387</v>
      </c>
      <c r="B393" s="1">
        <v>6000</v>
      </c>
      <c r="C393" s="1" t="s">
        <v>26</v>
      </c>
      <c r="D393" s="1" t="s">
        <v>27</v>
      </c>
      <c r="E393" s="1">
        <v>-10215.540000000001</v>
      </c>
      <c r="F393" s="1" t="str">
        <f>_xlfn.XLOOKUP(B393,Mapping!A:A,Mapping!B:B)</f>
        <v xml:space="preserve">Rent </v>
      </c>
      <c r="G393" s="1" t="str">
        <f>_xlfn.XLOOKUP(B393,Mapping!A:A,Mapping!C:C)</f>
        <v>Other OPEX</v>
      </c>
    </row>
    <row r="394" spans="1:7">
      <c r="A394" s="1">
        <v>46387</v>
      </c>
      <c r="B394" s="1">
        <v>6100</v>
      </c>
      <c r="C394" s="1" t="s">
        <v>26</v>
      </c>
      <c r="D394" s="1" t="s">
        <v>27</v>
      </c>
      <c r="E394" s="1">
        <v>-7527.76</v>
      </c>
      <c r="F394" s="1" t="str">
        <f>_xlfn.XLOOKUP(B394,Mapping!A:A,Mapping!B:B)</f>
        <v>IT &amp; Software</v>
      </c>
      <c r="G394" s="1" t="str">
        <f>_xlfn.XLOOKUP(B394,Mapping!A:A,Mapping!C:C)</f>
        <v>Other OPEX</v>
      </c>
    </row>
    <row r="395" spans="1:7">
      <c r="A395" s="1">
        <v>46387</v>
      </c>
      <c r="B395" s="1">
        <v>6200</v>
      </c>
      <c r="C395" s="1" t="s">
        <v>26</v>
      </c>
      <c r="D395" s="1" t="s">
        <v>27</v>
      </c>
      <c r="E395" s="1">
        <v>-6407.03</v>
      </c>
      <c r="F395" s="1" t="str">
        <f>_xlfn.XLOOKUP(B395,Mapping!A:A,Mapping!B:B)</f>
        <v>Marketing</v>
      </c>
      <c r="G395" s="1" t="str">
        <f>_xlfn.XLOOKUP(B395,Mapping!A:A,Mapping!C:C)</f>
        <v>Other OPEX</v>
      </c>
    </row>
    <row r="396" spans="1:7">
      <c r="A396" s="1">
        <v>46387</v>
      </c>
      <c r="B396" s="1">
        <v>6300</v>
      </c>
      <c r="C396" s="1" t="s">
        <v>26</v>
      </c>
      <c r="D396" s="1" t="s">
        <v>27</v>
      </c>
      <c r="E396" s="1">
        <v>-3369.48</v>
      </c>
      <c r="F396" s="1" t="str">
        <f>_xlfn.XLOOKUP(B396,Mapping!A:A,Mapping!B:B)</f>
        <v>Travel</v>
      </c>
      <c r="G396" s="1" t="str">
        <f>_xlfn.XLOOKUP(B396,Mapping!A:A,Mapping!C:C)</f>
        <v>Other OPEX</v>
      </c>
    </row>
    <row r="397" spans="1:7">
      <c r="A397" s="1">
        <v>46387</v>
      </c>
      <c r="B397" s="1">
        <v>6400</v>
      </c>
      <c r="C397" s="1" t="s">
        <v>26</v>
      </c>
      <c r="D397" s="1" t="s">
        <v>27</v>
      </c>
      <c r="E397" s="1">
        <v>-5208.93</v>
      </c>
      <c r="F397" s="1" t="str">
        <f>_xlfn.XLOOKUP(B397,Mapping!A:A,Mapping!B:B)</f>
        <v>Professional Services</v>
      </c>
      <c r="G397" s="1" t="str">
        <f>_xlfn.XLOOKUP(B397,Mapping!A:A,Mapping!C:C)</f>
        <v>Other OPEX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0A30-BB19-49E1-AA8C-79B278A89E21}">
  <dimension ref="A1:B17"/>
  <sheetViews>
    <sheetView workbookViewId="0">
      <selection activeCell="B18" sqref="B18"/>
    </sheetView>
  </sheetViews>
  <sheetFormatPr defaultRowHeight="15"/>
  <cols>
    <col min="1" max="1" width="59.140625" customWidth="1"/>
    <col min="2" max="2" width="31.140625" customWidth="1"/>
  </cols>
  <sheetData>
    <row r="1" spans="1:2">
      <c r="A1" s="15" t="s">
        <v>69</v>
      </c>
      <c r="B1" s="12"/>
    </row>
    <row r="2" spans="1:2">
      <c r="A2" s="15" t="s">
        <v>70</v>
      </c>
      <c r="B2" s="13" t="s">
        <v>44</v>
      </c>
    </row>
    <row r="3" spans="1:2">
      <c r="A3" s="14" t="s">
        <v>40</v>
      </c>
      <c r="B3" s="16">
        <v>0.03</v>
      </c>
    </row>
    <row r="4" spans="1:2">
      <c r="A4" s="14" t="s">
        <v>41</v>
      </c>
      <c r="B4" s="16">
        <v>0.02</v>
      </c>
    </row>
    <row r="5" spans="1:2">
      <c r="A5" s="14" t="s">
        <v>42</v>
      </c>
      <c r="B5" s="16">
        <v>0</v>
      </c>
    </row>
    <row r="6" spans="1:2">
      <c r="A6" s="14" t="s">
        <v>43</v>
      </c>
      <c r="B6" s="16">
        <v>-0.02</v>
      </c>
    </row>
    <row r="7" spans="1:2">
      <c r="A7" s="14"/>
      <c r="B7" s="16"/>
    </row>
    <row r="9" spans="1:2">
      <c r="A9" s="14" t="s">
        <v>71</v>
      </c>
    </row>
    <row r="10" spans="1:2" ht="45">
      <c r="A10" s="14" t="s">
        <v>72</v>
      </c>
    </row>
    <row r="12" spans="1:2">
      <c r="A12" s="14" t="s">
        <v>73</v>
      </c>
    </row>
    <row r="13" spans="1:2">
      <c r="A13" s="11"/>
      <c r="B13" s="13"/>
    </row>
    <row r="14" spans="1:2">
      <c r="A14" s="14" t="s">
        <v>74</v>
      </c>
      <c r="B14" s="18">
        <f>'P&amp;L'!N40</f>
        <v>12257891.030199999</v>
      </c>
    </row>
    <row r="15" spans="1:2">
      <c r="A15" s="14" t="s">
        <v>75</v>
      </c>
      <c r="B15" s="18">
        <f>'P&amp;L'!N45</f>
        <v>3324153.0942000006</v>
      </c>
    </row>
    <row r="16" spans="1:2">
      <c r="A16" s="14" t="s">
        <v>76</v>
      </c>
      <c r="B16" s="18">
        <f>'P&amp;L'!N40-SUM('P&amp;L'!B13:M13)</f>
        <v>474451.59019999765</v>
      </c>
    </row>
    <row r="17" spans="1:2">
      <c r="A17" s="14" t="s">
        <v>77</v>
      </c>
      <c r="B17" s="18">
        <f>'P&amp;L'!N45-SUM('P&amp;L'!B18:M18)</f>
        <v>204574.9842000003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4A2C-1D7C-433E-953F-AFA5D53BACC8}">
  <dimension ref="A1:C12"/>
  <sheetViews>
    <sheetView workbookViewId="0">
      <selection activeCell="F16" sqref="F16"/>
    </sheetView>
  </sheetViews>
  <sheetFormatPr defaultRowHeight="15"/>
  <cols>
    <col min="1" max="1" width="10.28515625" customWidth="1"/>
    <col min="2" max="2" width="26.85546875" customWidth="1"/>
    <col min="3" max="3" width="19.85546875" customWidth="1"/>
  </cols>
  <sheetData>
    <row r="1" spans="1:3">
      <c r="A1" t="s">
        <v>17</v>
      </c>
      <c r="B1" t="s">
        <v>1</v>
      </c>
      <c r="C1" t="s">
        <v>2</v>
      </c>
    </row>
    <row r="2" spans="1:3">
      <c r="A2">
        <v>3000</v>
      </c>
      <c r="B2" t="s">
        <v>3</v>
      </c>
      <c r="C2" t="s">
        <v>34</v>
      </c>
    </row>
    <row r="3" spans="1:3">
      <c r="A3">
        <v>3100</v>
      </c>
      <c r="B3" t="s">
        <v>4</v>
      </c>
      <c r="C3" t="s">
        <v>34</v>
      </c>
    </row>
    <row r="4" spans="1:3">
      <c r="A4">
        <v>4000</v>
      </c>
      <c r="B4" t="s">
        <v>5</v>
      </c>
      <c r="C4" t="s">
        <v>14</v>
      </c>
    </row>
    <row r="5" spans="1:3">
      <c r="A5">
        <v>4100</v>
      </c>
      <c r="B5" t="s">
        <v>6</v>
      </c>
      <c r="C5" t="s">
        <v>14</v>
      </c>
    </row>
    <row r="6" spans="1:3">
      <c r="A6">
        <v>5000</v>
      </c>
      <c r="B6" t="s">
        <v>7</v>
      </c>
      <c r="C6" t="s">
        <v>15</v>
      </c>
    </row>
    <row r="7" spans="1:3">
      <c r="A7">
        <v>5100</v>
      </c>
      <c r="B7" t="s">
        <v>8</v>
      </c>
      <c r="C7" t="s">
        <v>15</v>
      </c>
    </row>
    <row r="8" spans="1:3">
      <c r="A8">
        <v>6000</v>
      </c>
      <c r="B8" t="s">
        <v>9</v>
      </c>
      <c r="C8" t="s">
        <v>16</v>
      </c>
    </row>
    <row r="9" spans="1:3">
      <c r="A9">
        <v>6100</v>
      </c>
      <c r="B9" t="s">
        <v>10</v>
      </c>
      <c r="C9" t="s">
        <v>16</v>
      </c>
    </row>
    <row r="10" spans="1:3">
      <c r="A10">
        <v>6200</v>
      </c>
      <c r="B10" t="s">
        <v>11</v>
      </c>
      <c r="C10" t="s">
        <v>16</v>
      </c>
    </row>
    <row r="11" spans="1:3">
      <c r="A11">
        <v>6300</v>
      </c>
      <c r="B11" t="s">
        <v>12</v>
      </c>
      <c r="C11" t="s">
        <v>16</v>
      </c>
    </row>
    <row r="12" spans="1:3">
      <c r="A12">
        <v>6400</v>
      </c>
      <c r="B12" t="s">
        <v>13</v>
      </c>
      <c r="C1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Management Summary</vt:lpstr>
      <vt:lpstr>P&amp;L</vt:lpstr>
      <vt:lpstr>Dashboard</vt:lpstr>
      <vt:lpstr>Actuals</vt:lpstr>
      <vt:lpstr>Budget</vt:lpstr>
      <vt:lpstr>Forecast Assumptions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Matrosov</cp:lastModifiedBy>
  <dcterms:created xsi:type="dcterms:W3CDTF">2015-06-05T18:19:34Z</dcterms:created>
  <dcterms:modified xsi:type="dcterms:W3CDTF">2026-08-14T07:22:22Z</dcterms:modified>
</cp:coreProperties>
</file>